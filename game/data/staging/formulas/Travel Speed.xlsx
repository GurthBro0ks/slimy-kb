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 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olor theme="1"/>
    </font>
    <font>
      <name val="Calibri"/>
      <color theme="1"/>
      <sz val="12"/>
    </font>
    <font>
      <name val="Calibri"/>
      <b val="1"/>
      <color theme="1"/>
      <sz val="12"/>
    </font>
    <font>
      <name val="Calibri"/>
      <color rgb="FF000000"/>
      <sz val="12"/>
    </font>
    <font>
      <name val="Calibri"/>
      <color rgb="FF1A1A1A"/>
      <sz val="12"/>
    </font>
    <font>
      <name val="Calibri"/>
      <b val="1"/>
      <color rgb="FF1A1A1A"/>
      <sz val="12"/>
    </font>
    <font>
      <name val="Calibri"/>
      <color rgb="FFFFFFFF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10" fontId="2" fillId="0" borderId="4" pivotButton="0" quotePrefix="0" xfId="0"/>
    <xf numFmtId="0" fontId="3" fillId="0" borderId="5" pivotButton="0" quotePrefix="0" xfId="0"/>
    <xf numFmtId="0" fontId="1" fillId="0" borderId="4" pivotButton="0" quotePrefix="0" xfId="0"/>
    <xf numFmtId="0" fontId="1" fillId="0" borderId="6" pivotButton="0" quotePrefix="0" xfId="0"/>
    <xf numFmtId="0" fontId="1" fillId="0" borderId="5" pivotButton="0" quotePrefix="0" xfId="0"/>
    <xf numFmtId="0" fontId="4" fillId="0" borderId="4" applyAlignment="1" pivotButton="0" quotePrefix="0" xfId="0">
      <alignment vertical="bottom"/>
    </xf>
    <xf numFmtId="0" fontId="5" fillId="0" borderId="6" pivotButton="0" quotePrefix="0" xfId="0"/>
    <xf numFmtId="2" fontId="2" fillId="0" borderId="4" pivotButton="0" quotePrefix="0" xfId="0"/>
    <xf numFmtId="10" fontId="2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10" fontId="2" fillId="0" borderId="9" pivotButton="0" quotePrefix="0" xfId="0"/>
    <xf numFmtId="0" fontId="3" fillId="0" borderId="1" pivotButton="0" quotePrefix="0" xfId="0"/>
    <xf numFmtId="10" fontId="2" fillId="0" borderId="3" pivotButton="0" quotePrefix="0" xfId="0"/>
    <xf numFmtId="0" fontId="5" fillId="0" borderId="9" pivotButton="0" quotePrefix="0" xfId="0"/>
    <xf numFmtId="0" fontId="6" fillId="0" borderId="1" pivotButton="0" quotePrefix="0" xfId="0"/>
    <xf numFmtId="0" fontId="7" fillId="0" borderId="1" pivotButton="0" quotePrefix="0" xfId="0"/>
    <xf numFmtId="0" fontId="1" fillId="0" borderId="9" pivotButton="0" quotePrefix="0" xfId="0"/>
    <xf numFmtId="0" fontId="5" fillId="0" borderId="7" pivotButton="0" quotePrefix="0" xfId="0"/>
    <xf numFmtId="0" fontId="4" fillId="0" borderId="7" applyAlignment="1" pivotButton="0" quotePrefix="0" xfId="0">
      <alignment vertical="bottom"/>
    </xf>
    <xf numFmtId="0" fontId="3" fillId="0" borderId="10" pivotButton="0" quotePrefix="0" xfId="0"/>
    <xf numFmtId="0" fontId="1" fillId="0" borderId="10" pivotButton="0" quotePrefix="0" xfId="0"/>
    <xf numFmtId="4" fontId="1" fillId="0" borderId="10" pivotButton="0" quotePrefix="0" xfId="0"/>
    <xf numFmtId="0" fontId="4" fillId="0" borderId="10" pivotButton="0" quotePrefix="0" xfId="0"/>
    <xf numFmtId="0" fontId="4" fillId="0" borderId="4" pivotButton="0" quotePrefix="0" xfId="0"/>
    <xf numFmtId="0" fontId="4" fillId="0" borderId="6" pivotButton="0" quotePrefix="0" xfId="0"/>
    <xf numFmtId="0" fontId="4" fillId="0" borderId="8" pivotButton="0" quotePrefix="0" xfId="0"/>
    <xf numFmtId="0" fontId="4" fillId="0" borderId="9" pivotButton="0" quotePrefix="0" xfId="0"/>
    <xf numFmtId="0" fontId="4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8.18" customWidth="1" min="1" max="1"/>
    <col width="8.449999999999999" customWidth="1" min="2" max="2"/>
    <col width="7.82" customWidth="1" min="3" max="3"/>
    <col width="11.27" customWidth="1" min="4" max="4"/>
    <col width="10.91" customWidth="1" min="5" max="5"/>
    <col width="8.449999999999999" customWidth="1" min="6" max="6"/>
    <col width="134.55" customWidth="1" min="7" max="7"/>
    <col width="8.640000000000001" customWidth="1" min="8" max="8"/>
  </cols>
  <sheetData>
    <row r="1" ht="15.75" customHeight="1">
      <c r="A1" s="1" t="inlineStr">
        <is>
          <t>Name</t>
        </is>
      </c>
      <c r="B1" s="2" t="inlineStr">
        <is>
          <t>Rarity</t>
        </is>
      </c>
      <c r="C1" s="2" t="inlineStr">
        <is>
          <t>Type</t>
        </is>
      </c>
      <c r="D1" s="2" t="inlineStr">
        <is>
          <t>Base Travel Speed</t>
        </is>
      </c>
      <c r="E1" s="2" t="inlineStr">
        <is>
          <t>Awakened Bonus</t>
        </is>
      </c>
      <c r="F1" s="2" t="inlineStr">
        <is>
          <t>Stamp Bonus</t>
        </is>
      </c>
      <c r="G1" s="3" t="inlineStr">
        <is>
          <t>Source</t>
        </is>
      </c>
      <c r="H1" s="4" t="n"/>
      <c r="I1" s="4" t="n"/>
      <c r="K1" s="4" t="n"/>
    </row>
    <row r="2" ht="15.75" customHeight="1">
      <c r="A2" s="5" t="inlineStr">
        <is>
          <t>INDIVIDUAL RELICS</t>
        </is>
      </c>
      <c r="B2" s="6" t="n"/>
      <c r="C2" s="6" t="n"/>
      <c r="D2" s="6" t="n"/>
      <c r="E2" s="6" t="n"/>
      <c r="F2" s="6" t="n"/>
      <c r="G2" s="7" t="n"/>
      <c r="H2" s="4" t="n"/>
      <c r="I2" s="4" t="n"/>
      <c r="K2" s="4" t="n"/>
    </row>
    <row r="3" ht="15.75" customHeight="1">
      <c r="A3" s="8" t="inlineStr">
        <is>
          <t xml:space="preserve">   Voyager 1</t>
        </is>
      </c>
      <c r="B3" s="9" t="inlineStr">
        <is>
          <t>SSS</t>
        </is>
      </c>
      <c r="C3" s="6" t="inlineStr">
        <is>
          <t>TECH</t>
        </is>
      </c>
      <c r="D3" s="6" t="n">
        <v>2.4</v>
      </c>
      <c r="E3" s="6" t="n"/>
      <c r="F3" s="6" t="n"/>
      <c r="G3" s="10" t="inlineStr">
        <is>
          <t>Wish Box, Lottery Machine #1 (0.09%), Wishing (0.07%), Murikan Treasure Maps (0.01%), Grandmaster Scrolls (0.81%), Relic Forge (120 Relic RF)</t>
        </is>
      </c>
      <c r="H3" s="4" t="n"/>
      <c r="I3" s="4" t="n"/>
      <c r="J3" s="11" t="n"/>
      <c r="K3" s="4" t="n"/>
    </row>
    <row r="4" ht="15.75" customHeight="1">
      <c r="A4" s="8" t="inlineStr">
        <is>
          <t xml:space="preserve">   Magellan's Telescope</t>
        </is>
      </c>
      <c r="B4" s="9" t="inlineStr">
        <is>
          <t>SSS</t>
        </is>
      </c>
      <c r="C4" s="9" t="inlineStr">
        <is>
          <t>FAME</t>
        </is>
      </c>
      <c r="D4" s="6" t="n">
        <v>2.4</v>
      </c>
      <c r="E4" s="6" t="n"/>
      <c r="F4" s="6" t="n">
        <v>9</v>
      </c>
      <c r="G4" s="10" t="inlineStr">
        <is>
          <t>Lottery Machine #1 (0.09%), Wishing (0.09%), Hellas Treasure Map, Grandmaster Scrolls (0.81%), Relic Forge (120 Relic RF)</t>
        </is>
      </c>
      <c r="H4" s="4" t="n"/>
      <c r="I4" s="4" t="n"/>
      <c r="J4" s="11" t="n"/>
      <c r="K4" s="4" t="n"/>
    </row>
    <row r="5" ht="15.75" customHeight="1">
      <c r="A5" s="8" t="inlineStr">
        <is>
          <t xml:space="preserve">   Somersault Cloud</t>
        </is>
      </c>
      <c r="B5" s="9" t="inlineStr">
        <is>
          <t>SSS</t>
        </is>
      </c>
      <c r="C5" s="9" t="inlineStr">
        <is>
          <t>FTH</t>
        </is>
      </c>
      <c r="D5" s="6" t="n">
        <v>2.4</v>
      </c>
      <c r="E5" s="6" t="n"/>
      <c r="F5" s="6" t="n"/>
      <c r="G5" s="10" t="inlineStr">
        <is>
          <t>Wish Pack, Lottery Machine #1 (0.09%), Wishing (0.06%), Super Treasure Maps (0.03%), Grandmaster Scrolls (0.81%), Relic Forge (120 Relic RF), "I want your collection!" Dragon Wish</t>
        </is>
      </c>
      <c r="H5" s="4" t="n"/>
      <c r="I5" s="4" t="n"/>
      <c r="J5" s="11" t="n"/>
      <c r="K5" s="4" t="n"/>
    </row>
    <row r="6" ht="15.75" customHeight="1">
      <c r="A6" s="8" t="inlineStr">
        <is>
          <t xml:space="preserve">   Travels of Marco Polo</t>
        </is>
      </c>
      <c r="B6" s="9" t="inlineStr">
        <is>
          <t>SS</t>
        </is>
      </c>
      <c r="C6" s="9" t="inlineStr">
        <is>
          <t>FAME</t>
        </is>
      </c>
      <c r="D6" s="6" t="n">
        <v>2.2</v>
      </c>
      <c r="E6" s="6" t="n"/>
      <c r="F6" s="6" t="n"/>
      <c r="G6" s="10" t="inlineStr">
        <is>
          <t>Lottery Machine #1 (0.12%), Wishing (0.11%), Grandmaster Scrolls (1%), Relic Forge (100 Relic RF), Club Value Pack II ($49.99)</t>
        </is>
      </c>
      <c r="H6" s="4" t="n"/>
      <c r="I6" s="4" t="n"/>
      <c r="J6" s="11" t="n"/>
      <c r="K6" s="4" t="n"/>
    </row>
    <row r="7" ht="15.75" customHeight="1">
      <c r="A7" s="8" t="inlineStr">
        <is>
          <t xml:space="preserve">   Otto Engine</t>
        </is>
      </c>
      <c r="B7" s="9" t="inlineStr">
        <is>
          <t>AAA</t>
        </is>
      </c>
      <c r="C7" s="6" t="inlineStr">
        <is>
          <t>TECH</t>
        </is>
      </c>
      <c r="D7" s="6" t="n">
        <v>1.8</v>
      </c>
      <c r="E7" s="6" t="n">
        <v>1.4</v>
      </c>
      <c r="F7" s="6" t="n"/>
      <c r="G7" s="10" t="inlineStr">
        <is>
          <t>Fragment Crafting (1.6%), Lottery Machine #1 (0.03%), Wishing (0.14%), Tool Chest (1.5%), Relic Forge (80 Relic RF)</t>
        </is>
      </c>
      <c r="H7" s="4" t="n"/>
      <c r="I7" s="4" t="n"/>
      <c r="J7" s="11" t="n"/>
      <c r="K7" s="4" t="n"/>
    </row>
    <row r="8" ht="15.75" customHeight="1">
      <c r="A8" s="8" t="inlineStr">
        <is>
          <t xml:space="preserve">   Bronze Bird</t>
        </is>
      </c>
      <c r="B8" s="9" t="inlineStr">
        <is>
          <t>Blue</t>
        </is>
      </c>
      <c r="C8" s="9" t="inlineStr">
        <is>
          <t>FAME</t>
        </is>
      </c>
      <c r="D8" s="6" t="n">
        <v>2</v>
      </c>
      <c r="E8" s="6" t="n"/>
      <c r="F8" s="6" t="n"/>
      <c r="G8" s="12" t="inlineStr">
        <is>
          <t>Cathay Treasure Map (20%)</t>
        </is>
      </c>
      <c r="J8" s="11" t="n"/>
    </row>
    <row r="9" ht="15.75" customHeight="1">
      <c r="A9" s="8" t="inlineStr">
        <is>
          <t xml:space="preserve">   Flying Broom</t>
        </is>
      </c>
      <c r="B9" s="9" t="inlineStr">
        <is>
          <t>Green</t>
        </is>
      </c>
      <c r="C9" s="9" t="inlineStr">
        <is>
          <t>FAME</t>
        </is>
      </c>
      <c r="D9" s="6" t="n">
        <v>0.6</v>
      </c>
      <c r="E9" s="6" t="n"/>
      <c r="F9" s="6" t="n"/>
      <c r="G9" s="12" t="inlineStr">
        <is>
          <t>Defeat Ratman</t>
        </is>
      </c>
      <c r="J9" s="11" t="n"/>
    </row>
    <row r="10" ht="15.75" customHeight="1">
      <c r="A10" s="13" t="inlineStr">
        <is>
          <t>MAX INDIVIDUAL RELICS</t>
        </is>
      </c>
      <c r="B10" s="14" t="n"/>
      <c r="C10" s="14" t="n"/>
      <c r="D10" s="14">
        <f>SUM(D3:F9)</f>
        <v/>
      </c>
      <c r="E10" s="14" t="n"/>
      <c r="F10" s="14" t="n"/>
      <c r="G10" s="15" t="n"/>
      <c r="J10" s="11" t="n"/>
    </row>
    <row r="11" ht="15.75" customHeight="1">
      <c r="A11" s="8" t="n"/>
      <c r="B11" s="6" t="n"/>
      <c r="C11" s="6" t="n"/>
      <c r="D11" s="6" t="n"/>
      <c r="E11" s="6" t="n"/>
      <c r="F11" s="6" t="n"/>
      <c r="G11" s="12" t="n"/>
      <c r="J11" s="11" t="n"/>
    </row>
    <row r="12" ht="15.75" customHeight="1">
      <c r="A12" s="16" t="inlineStr">
        <is>
          <t>GEAR</t>
        </is>
      </c>
      <c r="B12" s="2" t="n"/>
      <c r="C12" s="2" t="n"/>
      <c r="D12" s="2" t="n"/>
      <c r="E12" s="2" t="n"/>
      <c r="F12" s="2" t="n"/>
      <c r="G12" s="17" t="n"/>
      <c r="J12" s="11" t="n"/>
    </row>
    <row r="13" ht="15.75" customHeight="1">
      <c r="A13" s="13" t="inlineStr">
        <is>
          <t xml:space="preserve">   Tremendous Support</t>
        </is>
      </c>
      <c r="B13" s="14" t="n"/>
      <c r="C13" s="14" t="n"/>
      <c r="D13" s="14" t="n">
        <v>9.6</v>
      </c>
      <c r="E13" s="14" t="n"/>
      <c r="F13" s="14" t="n"/>
      <c r="G13" s="18" t="inlineStr">
        <is>
          <t>Divine Order Chest (0.8%)</t>
        </is>
      </c>
    </row>
    <row r="14" ht="15.75" customHeight="1">
      <c r="A14" s="8" t="n"/>
      <c r="B14" s="6" t="n"/>
      <c r="C14" s="6" t="n"/>
      <c r="D14" s="6" t="n"/>
      <c r="E14" s="6" t="n"/>
      <c r="F14" s="6" t="n"/>
      <c r="G14" s="12" t="n"/>
    </row>
    <row r="15" ht="15.75" customHeight="1">
      <c r="A15" s="19" t="inlineStr">
        <is>
          <t>ROCKET UPGRADES</t>
        </is>
      </c>
      <c r="B15" s="2" t="n"/>
      <c r="C15" s="2" t="n"/>
      <c r="D15" s="2" t="n"/>
      <c r="E15" s="2" t="n"/>
      <c r="F15" s="2" t="n"/>
      <c r="G15" s="17" t="n"/>
    </row>
    <row r="16" ht="15.75" customHeight="1">
      <c r="A16" s="13" t="inlineStr">
        <is>
          <t xml:space="preserve">   Domain Holograph</t>
        </is>
      </c>
      <c r="B16" s="14" t="n"/>
      <c r="C16" s="14" t="n"/>
      <c r="D16" s="14" t="n">
        <v>5</v>
      </c>
      <c r="E16" s="14" t="n"/>
      <c r="F16" s="14" t="n"/>
      <c r="G16" s="15" t="n"/>
    </row>
    <row r="17" ht="15.75" customHeight="1">
      <c r="A17" s="6" t="n"/>
      <c r="B17" s="6" t="n"/>
      <c r="C17" s="6" t="n"/>
      <c r="D17" s="6" t="n"/>
      <c r="E17" s="6" t="n"/>
      <c r="F17" s="6" t="n"/>
      <c r="G17" s="4" t="n"/>
    </row>
    <row r="18" ht="15.75" customHeight="1">
      <c r="A18" s="16" t="inlineStr">
        <is>
          <t>FORM SPECIFIC</t>
        </is>
      </c>
      <c r="B18" s="2" t="n"/>
      <c r="C18" s="2" t="n"/>
      <c r="D18" s="2" t="n"/>
      <c r="E18" s="2" t="n"/>
      <c r="F18" s="2" t="n"/>
      <c r="G18" s="17" t="n"/>
    </row>
    <row r="19" ht="15.75" customHeight="1">
      <c r="A19" s="1" t="inlineStr">
        <is>
          <t>ZOMBIE</t>
        </is>
      </c>
      <c r="B19" s="2" t="n"/>
      <c r="C19" s="2" t="n"/>
      <c r="D19" s="2" t="n"/>
      <c r="E19" s="2" t="n"/>
      <c r="F19" s="2" t="n"/>
      <c r="G19" s="17" t="n"/>
    </row>
    <row r="20" ht="15.75" customHeight="1">
      <c r="A20" s="8" t="inlineStr">
        <is>
          <t xml:space="preserve">   Shroud of Turin</t>
        </is>
      </c>
      <c r="B20" s="9" t="inlineStr">
        <is>
          <t>S</t>
        </is>
      </c>
      <c r="C20" s="9" t="inlineStr">
        <is>
          <t>FTH</t>
        </is>
      </c>
      <c r="D20" s="6" t="n">
        <v>2</v>
      </c>
      <c r="E20" s="6" t="n"/>
      <c r="F20" s="6" t="n"/>
      <c r="G20" s="10" t="inlineStr">
        <is>
          <t>Fragment Crafting (15.1%), Lottery Machine #1 (0.81%), Wishing (0.53%), Relic Forge (90 Relic RF)</t>
        </is>
      </c>
    </row>
    <row r="21" ht="15.75" customHeight="1">
      <c r="A21" s="13" t="inlineStr">
        <is>
          <t xml:space="preserve">   Ludovisi Gaul</t>
        </is>
      </c>
      <c r="B21" s="9" t="inlineStr">
        <is>
          <t>Blue</t>
        </is>
      </c>
      <c r="C21" s="9" t="inlineStr">
        <is>
          <t>ART</t>
        </is>
      </c>
      <c r="D21" s="14" t="n">
        <v>1</v>
      </c>
      <c r="E21" s="14" t="n">
        <v>1</v>
      </c>
      <c r="F21" s="14" t="n"/>
      <c r="G21" s="18" t="inlineStr">
        <is>
          <t>Lottery Machine #1 (0.07%), Wishing (3%), Trainee Scrolls (1%), Indigent Nobleman (72K B-tads)</t>
        </is>
      </c>
    </row>
    <row r="22" ht="15.75" customHeight="1">
      <c r="A22" s="20" t="inlineStr">
        <is>
          <t>DEMON</t>
        </is>
      </c>
      <c r="B22" s="2" t="n"/>
      <c r="C22" s="2" t="n"/>
      <c r="D22" s="2" t="n"/>
      <c r="E22" s="2" t="n"/>
      <c r="F22" s="2" t="n"/>
      <c r="G22" s="17" t="n"/>
    </row>
    <row r="23" ht="15.75" customHeight="1">
      <c r="A23" s="8" t="inlineStr">
        <is>
          <t xml:space="preserve">   Eye of Akamoddo</t>
        </is>
      </c>
      <c r="B23" s="9" t="inlineStr">
        <is>
          <t>SS</t>
        </is>
      </c>
      <c r="C23" s="9" t="inlineStr">
        <is>
          <t>FTH</t>
        </is>
      </c>
      <c r="D23" s="6" t="n">
        <v>2.2</v>
      </c>
      <c r="E23" s="6" t="n"/>
      <c r="F23" s="6" t="n"/>
      <c r="G23" s="10" t="inlineStr">
        <is>
          <t>Fragment Crafting (4.4%), Lottery Machine #1 (0.24%), Wishing (0.16%), Time Chest (1%), Master Scrolls (1.9%), Grandmaster Scrolls (2.1%), FTH Master Scrolls (9.2%)</t>
        </is>
      </c>
    </row>
    <row r="24" ht="15.75" customHeight="1">
      <c r="A24" s="8" t="inlineStr">
        <is>
          <t xml:space="preserve">   Great Wave</t>
        </is>
      </c>
      <c r="B24" s="9" t="inlineStr">
        <is>
          <t>Blue</t>
        </is>
      </c>
      <c r="C24" s="9" t="inlineStr">
        <is>
          <t>ART</t>
        </is>
      </c>
      <c r="D24" s="6" t="n">
        <v>1</v>
      </c>
      <c r="E24" s="6" t="n">
        <v>1</v>
      </c>
      <c r="F24" s="6" t="n"/>
      <c r="G24" s="10" t="inlineStr">
        <is>
          <t>Lottery Machine #1 (0.07%), Wishing (3%), Yamato Treasure Maps (20%)</t>
        </is>
      </c>
    </row>
    <row r="25" ht="15.75" customHeight="1">
      <c r="A25" s="13" t="inlineStr">
        <is>
          <t xml:space="preserve">   Annabel</t>
        </is>
      </c>
      <c r="B25" s="9" t="inlineStr">
        <is>
          <t>Green</t>
        </is>
      </c>
      <c r="C25" s="14" t="inlineStr">
        <is>
          <t>CIV</t>
        </is>
      </c>
      <c r="D25" s="14" t="n">
        <v>0.6</v>
      </c>
      <c r="E25" s="14" t="n"/>
      <c r="F25" s="14" t="n"/>
      <c r="G25" s="15" t="inlineStr">
        <is>
          <t>"I want your collection!" Dragon Wish</t>
        </is>
      </c>
    </row>
    <row r="26" ht="15.75" customHeight="1">
      <c r="A26" s="1" t="inlineStr">
        <is>
          <t>ANGEL</t>
        </is>
      </c>
      <c r="B26" s="2" t="n"/>
      <c r="C26" s="2" t="n"/>
      <c r="D26" s="2" t="n"/>
      <c r="E26" s="2" t="n"/>
      <c r="F26" s="2" t="n"/>
      <c r="G26" s="17" t="n"/>
    </row>
    <row r="27" ht="15.75" customHeight="1">
      <c r="A27" s="8" t="inlineStr">
        <is>
          <t xml:space="preserve">   Golden Chariot</t>
        </is>
      </c>
      <c r="B27" s="9" t="inlineStr">
        <is>
          <t>SS</t>
        </is>
      </c>
      <c r="C27" s="9" t="inlineStr">
        <is>
          <t>FTH</t>
        </is>
      </c>
      <c r="D27" s="6" t="n">
        <v>2.2</v>
      </c>
      <c r="E27" s="6" t="n"/>
      <c r="F27" s="6" t="n"/>
      <c r="G27" s="10" t="inlineStr">
        <is>
          <t>Fragment Crafting (3.3%), Lottery Machine #1 (0.18%), Wishing (0.12%), Hellas Treasure Maps (%), Grandmaster Scrolls (1.6%)</t>
        </is>
      </c>
    </row>
    <row r="28" ht="15.75" customHeight="1">
      <c r="A28" s="13" t="inlineStr">
        <is>
          <t xml:space="preserve">   Guanery's Violin</t>
        </is>
      </c>
      <c r="B28" s="9" t="inlineStr">
        <is>
          <t>Blue</t>
        </is>
      </c>
      <c r="C28" s="14" t="inlineStr">
        <is>
          <t>ART</t>
        </is>
      </c>
      <c r="D28" s="14" t="n">
        <v>1</v>
      </c>
      <c r="E28" s="14" t="n">
        <v>1</v>
      </c>
      <c r="F28" s="14" t="n"/>
      <c r="G28" s="18" t="inlineStr">
        <is>
          <t>Lottery Machine #1 (0.03%), Wishing (1.2%), Indigent Nobleman (72K B-tads)</t>
        </is>
      </c>
    </row>
    <row r="29" ht="15.75" customHeight="1">
      <c r="A29" s="20" t="inlineStr">
        <is>
          <t>MUTANT</t>
        </is>
      </c>
      <c r="B29" s="2" t="n"/>
      <c r="C29" s="2" t="n"/>
      <c r="D29" s="2" t="n"/>
      <c r="E29" s="2" t="n"/>
      <c r="F29" s="2" t="n"/>
      <c r="G29" s="17" t="n"/>
    </row>
    <row r="30" ht="15.75" customHeight="1">
      <c r="A30" s="8" t="inlineStr">
        <is>
          <t xml:space="preserve">    Element R</t>
        </is>
      </c>
      <c r="B30" s="9" t="inlineStr">
        <is>
          <t>S</t>
        </is>
      </c>
      <c r="C30" s="6" t="inlineStr">
        <is>
          <t>TECH</t>
        </is>
      </c>
      <c r="D30" s="6" t="n">
        <v>2</v>
      </c>
      <c r="E30" s="6" t="n"/>
      <c r="F30" s="6" t="n"/>
      <c r="G30" s="10" t="inlineStr">
        <is>
          <t>Fragment Crafting (17.8%), Lottery Machine #1 (0.81%), Wishing (0.65%), Relic Forge (90 Relic RF)</t>
        </is>
      </c>
    </row>
    <row r="31" ht="15.75" customHeight="1">
      <c r="A31" s="13" t="inlineStr">
        <is>
          <t xml:space="preserve">    Torpedo Swimsuit</t>
        </is>
      </c>
      <c r="B31" s="9" t="inlineStr">
        <is>
          <t>Blue</t>
        </is>
      </c>
      <c r="C31" s="14" t="inlineStr">
        <is>
          <t>TECH</t>
        </is>
      </c>
      <c r="D31" s="14" t="n">
        <v>1</v>
      </c>
      <c r="E31" s="14" t="n">
        <v>1</v>
      </c>
      <c r="F31" s="14" t="n"/>
      <c r="G31" s="18" t="inlineStr">
        <is>
          <t>Lottery Machine #1 (0.03%), Wishing (1.1%), Evolution Chest (2%)</t>
        </is>
      </c>
    </row>
    <row r="32" ht="15.75" customHeight="1">
      <c r="A32" s="20" t="inlineStr">
        <is>
          <t>MECHA</t>
        </is>
      </c>
      <c r="B32" s="2" t="n"/>
      <c r="C32" s="2" t="n"/>
      <c r="D32" s="2" t="n"/>
      <c r="E32" s="2" t="n"/>
      <c r="F32" s="2" t="n"/>
      <c r="G32" s="17" t="n"/>
    </row>
    <row r="33" ht="15.75" customHeight="1">
      <c r="A33" s="8" t="inlineStr">
        <is>
          <t xml:space="preserve">    Skyweb Hub</t>
        </is>
      </c>
      <c r="B33" s="9" t="inlineStr">
        <is>
          <t>SS</t>
        </is>
      </c>
      <c r="C33" s="6" t="inlineStr">
        <is>
          <t>TECH</t>
        </is>
      </c>
      <c r="D33" s="6" t="n">
        <v>2.2</v>
      </c>
      <c r="E33" s="6" t="n"/>
      <c r="F33" s="6" t="n"/>
      <c r="G33" s="10" t="inlineStr">
        <is>
          <t>Koryeon Domain, Fragment Crafting (5.2%), Lottery Machine #1 (0.24%), Wishing (0.19%), Super Treasure Maps (5%), Master Scrolls (1.9%), Grandmaster Scrolls (2.1%), TECH Master Scrolls (9.2%)</t>
        </is>
      </c>
    </row>
    <row r="34" ht="15.75" customHeight="1">
      <c r="A34" s="13" t="inlineStr">
        <is>
          <t xml:space="preserve">    Arirange Satellite</t>
        </is>
      </c>
      <c r="B34" s="9" t="inlineStr">
        <is>
          <t>Blue</t>
        </is>
      </c>
      <c r="C34" s="14" t="inlineStr">
        <is>
          <t>TECH</t>
        </is>
      </c>
      <c r="D34" s="14" t="n">
        <v>1</v>
      </c>
      <c r="E34" s="14" t="n">
        <v>1</v>
      </c>
      <c r="F34" s="14" t="n"/>
      <c r="G34" s="18" t="inlineStr">
        <is>
          <t>Lottery Machine #1 (0.03%), Wishing (1.1%), Nebula Chest (2%)</t>
        </is>
      </c>
    </row>
    <row r="35" ht="15.75" customHeight="1">
      <c r="A35" s="1" t="inlineStr">
        <is>
          <t>DRAGON</t>
        </is>
      </c>
      <c r="B35" s="2" t="n"/>
      <c r="C35" s="2" t="n"/>
      <c r="D35" s="2" t="n"/>
      <c r="E35" s="2" t="n"/>
      <c r="F35" s="2" t="n"/>
      <c r="G35" s="17" t="n"/>
    </row>
    <row r="36" ht="15.75" customHeight="1">
      <c r="A36" s="8" t="inlineStr">
        <is>
          <t xml:space="preserve">    Phoenix Feather</t>
        </is>
      </c>
      <c r="B36" s="9" t="inlineStr">
        <is>
          <t>SSS</t>
        </is>
      </c>
      <c r="C36" s="9" t="inlineStr">
        <is>
          <t>FTH</t>
        </is>
      </c>
      <c r="D36" s="6" t="n">
        <v>2.4</v>
      </c>
      <c r="E36" s="6" t="n"/>
      <c r="F36" s="6" t="n"/>
      <c r="G36" s="7" t="inlineStr">
        <is>
          <t>Lottery Machine #1 (0.09%), Wishing (0.06%), Evolution Chest (0.01%), Grandmaster Scrolls (0.81%), Relic Forge (120 Relic RF)</t>
        </is>
      </c>
    </row>
    <row r="37" ht="15.75" customHeight="1">
      <c r="A37" s="13" t="inlineStr">
        <is>
          <t xml:space="preserve">    Dunhuang Painting</t>
        </is>
      </c>
      <c r="B37" s="9" t="inlineStr">
        <is>
          <t>Blue</t>
        </is>
      </c>
      <c r="C37" s="9" t="inlineStr">
        <is>
          <t>FTH</t>
        </is>
      </c>
      <c r="D37" s="14" t="n">
        <v>1</v>
      </c>
      <c r="E37" s="14" t="n">
        <v>1</v>
      </c>
      <c r="F37" s="14" t="n"/>
      <c r="G37" s="21" t="inlineStr">
        <is>
          <t>Lottery Machine #1 (0.03%), Wishing (0.85%)</t>
        </is>
      </c>
    </row>
    <row r="38" ht="15.75" customHeight="1">
      <c r="A38" s="22" t="inlineStr">
        <is>
          <t>MAX FORM SPECIFIC</t>
        </is>
      </c>
      <c r="B38" s="14" t="n"/>
      <c r="C38" s="14" t="n"/>
      <c r="D38" s="14">
        <f>MAX(SUM(D20:E21), SUM(D23:E25), SUM(D27:E28), SUM(D30:E31), SUM(D33:E34), SUM(D36:E37))</f>
        <v/>
      </c>
      <c r="E38" s="14" t="n"/>
      <c r="F38" s="14" t="n"/>
      <c r="G38" s="21" t="n"/>
    </row>
    <row r="39" ht="15.75" customHeight="1">
      <c r="A39" s="6" t="n"/>
      <c r="B39" s="6" t="n"/>
      <c r="C39" s="6" t="n"/>
      <c r="D39" s="6" t="n"/>
      <c r="E39" s="6" t="n"/>
      <c r="F39" s="6" t="n"/>
      <c r="G39" s="6" t="n"/>
    </row>
    <row r="40" ht="15.75" customHeight="1">
      <c r="A40" s="16" t="inlineStr">
        <is>
          <t>RESONANCE</t>
        </is>
      </c>
      <c r="B40" s="2" t="n"/>
      <c r="C40" s="2" t="n"/>
      <c r="D40" s="2" t="n"/>
      <c r="E40" s="2" t="n"/>
      <c r="F40" s="2" t="n"/>
      <c r="G40" s="3" t="n"/>
    </row>
    <row r="41" ht="15.75" customHeight="1">
      <c r="A41" s="8" t="inlineStr">
        <is>
          <t>BLUE</t>
        </is>
      </c>
      <c r="B41" s="6" t="n"/>
      <c r="C41" s="6" t="n"/>
      <c r="D41" s="6" t="n">
        <v>1.8</v>
      </c>
      <c r="E41" s="6" t="n"/>
      <c r="F41" s="6" t="n"/>
      <c r="G41" s="7" t="n"/>
    </row>
    <row r="42" ht="15.75" customHeight="1">
      <c r="A42" s="8" t="inlineStr">
        <is>
          <t xml:space="preserve">   Flyer I</t>
        </is>
      </c>
      <c r="B42" s="9" t="inlineStr">
        <is>
          <t>Blue</t>
        </is>
      </c>
      <c r="C42" s="6" t="inlineStr">
        <is>
          <t>TECH</t>
        </is>
      </c>
      <c r="D42" s="6" t="n"/>
      <c r="E42" s="6" t="n"/>
      <c r="F42" s="6" t="n"/>
      <c r="G42" s="10" t="inlineStr">
        <is>
          <t>Lottery Machine #1 (0.03%), Wishing (1.1%)</t>
        </is>
      </c>
    </row>
    <row r="43" ht="15.75" customHeight="1">
      <c r="A43" s="8" t="inlineStr">
        <is>
          <t xml:space="preserve">   Storyteller</t>
        </is>
      </c>
      <c r="B43" s="9" t="inlineStr">
        <is>
          <t>Blue</t>
        </is>
      </c>
      <c r="C43" s="9" t="inlineStr">
        <is>
          <t>ART</t>
        </is>
      </c>
      <c r="D43" s="6" t="n"/>
      <c r="E43" s="6" t="n"/>
      <c r="F43" s="6" t="n"/>
      <c r="G43" s="10" t="inlineStr">
        <is>
          <t>Lottery Machine #1 (0.36%), Wishing (15%), Trainee Scrolls (5%)</t>
        </is>
      </c>
    </row>
    <row r="44" ht="15.75" customHeight="1">
      <c r="A44" s="8" t="inlineStr">
        <is>
          <t xml:space="preserve">   Dragon Crystal</t>
        </is>
      </c>
      <c r="B44" s="9" t="inlineStr">
        <is>
          <t>Blue</t>
        </is>
      </c>
      <c r="C44" s="9" t="inlineStr">
        <is>
          <t>FTH</t>
        </is>
      </c>
      <c r="D44" s="6" t="n"/>
      <c r="E44" s="6" t="n"/>
      <c r="F44" s="6" t="n"/>
      <c r="G44" s="7" t="inlineStr">
        <is>
          <t>Dragon Gene Research Tier 2</t>
        </is>
      </c>
    </row>
    <row r="45" ht="15.75" customHeight="1">
      <c r="A45" s="8" t="inlineStr">
        <is>
          <t xml:space="preserve">   Gone with the Wind</t>
        </is>
      </c>
      <c r="B45" s="9" t="inlineStr">
        <is>
          <t>Blue</t>
        </is>
      </c>
      <c r="C45" s="6" t="inlineStr">
        <is>
          <t>CIV</t>
        </is>
      </c>
      <c r="D45" s="6" t="n"/>
      <c r="E45" s="6" t="n"/>
      <c r="F45" s="6" t="n"/>
      <c r="G45" s="7" t="inlineStr">
        <is>
          <t>Murikan Treasure Maps (20%)</t>
        </is>
      </c>
    </row>
    <row r="46" ht="15.75" customHeight="1">
      <c r="A46" s="8" t="inlineStr">
        <is>
          <t xml:space="preserve">   Bellum Gallicum</t>
        </is>
      </c>
      <c r="B46" s="9" t="inlineStr">
        <is>
          <t>Blue</t>
        </is>
      </c>
      <c r="C46" s="9" t="inlineStr">
        <is>
          <t>FAME</t>
        </is>
      </c>
      <c r="D46" s="6" t="n"/>
      <c r="E46" s="6" t="n"/>
      <c r="F46" s="6" t="n"/>
      <c r="G46" s="7" t="inlineStr">
        <is>
          <t>Lottery Machine #1 (0.03%), Wishing (1.2%)</t>
        </is>
      </c>
    </row>
    <row r="47" ht="15.75" customHeight="1">
      <c r="A47" s="8" t="inlineStr">
        <is>
          <t xml:space="preserve">   Atomic Clock</t>
        </is>
      </c>
      <c r="B47" s="9" t="inlineStr">
        <is>
          <t>Blue</t>
        </is>
      </c>
      <c r="C47" s="6" t="inlineStr">
        <is>
          <t>TECH</t>
        </is>
      </c>
      <c r="D47" s="6" t="n"/>
      <c r="E47" s="6" t="n"/>
      <c r="F47" s="6" t="n"/>
      <c r="G47" s="7" t="inlineStr">
        <is>
          <t>Lottery Machine #1 (0.03%), Wishing (1.1%)</t>
        </is>
      </c>
    </row>
    <row r="48" ht="15.75" customHeight="1">
      <c r="A48" s="8" t="inlineStr">
        <is>
          <t>PURPLE</t>
        </is>
      </c>
      <c r="B48" s="6" t="n"/>
      <c r="C48" s="6" t="n"/>
      <c r="D48" s="6" t="n">
        <v>1.8</v>
      </c>
      <c r="E48" s="6" t="n"/>
      <c r="F48" s="6" t="n"/>
      <c r="G48" s="7" t="n"/>
    </row>
    <row r="49" ht="15.75" customHeight="1">
      <c r="A49" s="8" t="inlineStr">
        <is>
          <t xml:space="preserve">   Leaf Manuscript</t>
        </is>
      </c>
      <c r="B49" s="9" t="inlineStr">
        <is>
          <t>AAA</t>
        </is>
      </c>
      <c r="C49" s="9" t="inlineStr">
        <is>
          <t>FTH</t>
        </is>
      </c>
      <c r="D49" s="6" t="n"/>
      <c r="E49" s="6" t="n"/>
      <c r="F49" s="6" t="n"/>
      <c r="G49" s="7" t="inlineStr">
        <is>
          <t>Fragment Crafting (1.5%), Lottery Machine #1 (0.03%), Wishing (0.14%), Bharata Treasure Maps (%), Relic Forge (80 Relic RF)</t>
        </is>
      </c>
    </row>
    <row r="50" ht="15.75" customHeight="1">
      <c r="A50" s="8" t="inlineStr">
        <is>
          <t xml:space="preserve">   Skidbladnir Ship</t>
        </is>
      </c>
      <c r="B50" s="9" t="inlineStr">
        <is>
          <t>AAA</t>
        </is>
      </c>
      <c r="C50" s="9" t="inlineStr">
        <is>
          <t>FTH</t>
        </is>
      </c>
      <c r="D50" s="6" t="n"/>
      <c r="E50" s="6" t="n"/>
      <c r="F50" s="6" t="n"/>
      <c r="G50" s="7" t="inlineStr">
        <is>
          <t>Fragment Crafting (1.5%), Lottery Machine #1 (0.03%), Wishing (0.14%), Relic Forge (80 Relic RF)</t>
        </is>
      </c>
    </row>
    <row r="51" ht="15.75" customHeight="1">
      <c r="A51" s="8" t="inlineStr">
        <is>
          <t xml:space="preserve">   Yuan Calendar</t>
        </is>
      </c>
      <c r="B51" s="9" t="inlineStr">
        <is>
          <t>AA</t>
        </is>
      </c>
      <c r="C51" s="6" t="inlineStr">
        <is>
          <t>TECH</t>
        </is>
      </c>
      <c r="D51" s="6" t="n"/>
      <c r="E51" s="6" t="n"/>
      <c r="F51" s="6" t="n"/>
      <c r="G51" s="7" t="inlineStr">
        <is>
          <t>Fragment Crafting (3.9%), Lottery Machine #1 (0.08%), Wishing (0.36%), Koryeon Treasure Maps (10%), Expert Scrolls (0.95%)</t>
        </is>
      </c>
    </row>
    <row r="52" ht="15.75" customHeight="1">
      <c r="A52" s="8" t="inlineStr">
        <is>
          <t xml:space="preserve">   Moonlight Sonata</t>
        </is>
      </c>
      <c r="B52" s="9" t="inlineStr">
        <is>
          <t>AAA</t>
        </is>
      </c>
      <c r="C52" s="9" t="inlineStr">
        <is>
          <t>ART</t>
        </is>
      </c>
      <c r="D52" s="6" t="n"/>
      <c r="E52" s="6" t="n"/>
      <c r="F52" s="6" t="n"/>
      <c r="G52" s="7" t="inlineStr">
        <is>
          <t>Fragment Crafting (1.6%), Lottery Machine #1 (0.03%), Wishing (0.14%), Relic Forge (80 Relic RF), Nebula Chest (1.5%)</t>
        </is>
      </c>
    </row>
    <row r="53" ht="15.75" customHeight="1">
      <c r="A53" s="8" t="inlineStr">
        <is>
          <t xml:space="preserve">   Treaty of Versailles</t>
        </is>
      </c>
      <c r="B53" s="9" t="inlineStr">
        <is>
          <t>AAA</t>
        </is>
      </c>
      <c r="C53" s="9" t="inlineStr">
        <is>
          <t>FAME</t>
        </is>
      </c>
      <c r="D53" s="6" t="n"/>
      <c r="E53" s="6" t="n"/>
      <c r="F53" s="6" t="n"/>
      <c r="G53" s="7" t="inlineStr">
        <is>
          <t>Fragment Crafting (1.6%), Lottery Machine #1 (0.03%), Wishing (0.14%), Club Chest (1.5%), Relic Forge (80 Relic RF)</t>
        </is>
      </c>
    </row>
    <row r="54" ht="15.75" customHeight="1">
      <c r="A54" s="8" t="inlineStr">
        <is>
          <t>ORANGE</t>
        </is>
      </c>
      <c r="B54" s="6" t="n"/>
      <c r="C54" s="6" t="n"/>
      <c r="D54" s="6" t="n">
        <v>2.4</v>
      </c>
      <c r="E54" s="6" t="n"/>
      <c r="F54" s="6" t="n"/>
      <c r="G54" s="7" t="n"/>
    </row>
    <row r="55" ht="15.75" customHeight="1">
      <c r="A55" s="8" t="inlineStr">
        <is>
          <t xml:space="preserve">   Noah's Ark</t>
        </is>
      </c>
      <c r="B55" s="9" t="inlineStr">
        <is>
          <t>SSS</t>
        </is>
      </c>
      <c r="C55" s="9" t="inlineStr">
        <is>
          <t>FTH</t>
        </is>
      </c>
      <c r="D55" s="6" t="n"/>
      <c r="E55" s="6" t="n"/>
      <c r="F55" s="6" t="n"/>
      <c r="G55" s="7" t="inlineStr">
        <is>
          <t>Weekly Special Reward Relic #3</t>
        </is>
      </c>
    </row>
    <row r="56" ht="15.75" customHeight="1">
      <c r="A56" s="8" t="inlineStr">
        <is>
          <t xml:space="preserve">   Golden Trophy</t>
        </is>
      </c>
      <c r="B56" s="9" t="inlineStr">
        <is>
          <t>SS</t>
        </is>
      </c>
      <c r="C56" s="9" t="inlineStr">
        <is>
          <t>FAME</t>
        </is>
      </c>
      <c r="D56" s="6" t="n"/>
      <c r="E56" s="6" t="n"/>
      <c r="F56" s="6" t="n"/>
      <c r="G56" s="7" t="inlineStr">
        <is>
          <t>Lottery Machine #1 (0.12%), Wishing (0.11%), Grandmaster Scrolls (1%), Relic Forge (100 Relic RF), Avatar Value Pack II ($49.99)</t>
        </is>
      </c>
    </row>
    <row r="57" ht="15.75" customHeight="1">
      <c r="A57" s="8" t="inlineStr">
        <is>
          <t xml:space="preserve">   Ape's Footprint Fossil</t>
        </is>
      </c>
      <c r="B57" s="9" t="inlineStr">
        <is>
          <t>SS</t>
        </is>
      </c>
      <c r="C57" s="9" t="inlineStr">
        <is>
          <t>FAME</t>
        </is>
      </c>
      <c r="D57" s="6" t="n"/>
      <c r="E57" s="6" t="n"/>
      <c r="F57" s="6" t="n"/>
      <c r="G57" s="7" t="inlineStr">
        <is>
          <t>Super Species Chest (2.4%)</t>
        </is>
      </c>
    </row>
    <row r="58" ht="15.75" customHeight="1">
      <c r="A58" s="8" t="inlineStr">
        <is>
          <t xml:space="preserve">   Trojan Horse</t>
        </is>
      </c>
      <c r="B58" s="9" t="inlineStr">
        <is>
          <t>SSS</t>
        </is>
      </c>
      <c r="C58" s="9" t="inlineStr">
        <is>
          <t>FAME</t>
        </is>
      </c>
      <c r="D58" s="6" t="n"/>
      <c r="E58" s="6" t="n"/>
      <c r="F58" s="6" t="n"/>
      <c r="G58" s="7" t="inlineStr">
        <is>
          <t>Lottery Machine #1 (0.09%), Wishing (0.09%), Grandmaster Scrolls (0.81%), Relic Forge (120 Relic RF)</t>
        </is>
      </c>
    </row>
    <row r="59" ht="15.75" customHeight="1">
      <c r="A59" s="8" t="inlineStr">
        <is>
          <t xml:space="preserve">   Einstein's Brain</t>
        </is>
      </c>
      <c r="B59" s="9" t="inlineStr">
        <is>
          <t>SSS</t>
        </is>
      </c>
      <c r="C59" s="9" t="inlineStr">
        <is>
          <t>FAME</t>
        </is>
      </c>
      <c r="D59" s="6" t="n"/>
      <c r="E59" s="6" t="n"/>
      <c r="F59" s="6" t="n"/>
      <c r="G59" s="7" t="inlineStr">
        <is>
          <t>Lottery Machine #1 (0.09%), Wishing (0.08%), Grandmaster Scrolls (0.79%)</t>
        </is>
      </c>
    </row>
    <row r="60" ht="15.75" customHeight="1">
      <c r="A60" s="8" t="inlineStr">
        <is>
          <t xml:space="preserve">   Gravitation Scripts</t>
        </is>
      </c>
      <c r="B60" s="9" t="inlineStr">
        <is>
          <t>SSS</t>
        </is>
      </c>
      <c r="C60" s="9" t="inlineStr">
        <is>
          <t>FAME</t>
        </is>
      </c>
      <c r="D60" s="6" t="n"/>
      <c r="E60" s="6" t="n"/>
      <c r="F60" s="6" t="n"/>
      <c r="G60" s="7" t="inlineStr">
        <is>
          <t>Daily Pack Relic #10</t>
        </is>
      </c>
    </row>
    <row r="61" ht="15.75" customHeight="1">
      <c r="A61" s="23" t="inlineStr">
        <is>
          <t>MAX RESONANCE</t>
        </is>
      </c>
      <c r="B61" s="14" t="n"/>
      <c r="C61" s="14" t="n"/>
      <c r="D61" s="14">
        <f>SUM(D41:F60)</f>
        <v/>
      </c>
      <c r="E61" s="14" t="n"/>
      <c r="F61" s="14" t="n"/>
      <c r="G61" s="21" t="n"/>
    </row>
    <row r="62" ht="15.75" customHeight="1"/>
    <row r="63" ht="15.75" customHeight="1"/>
    <row r="64" ht="15.75" customHeight="1">
      <c r="A64" s="24" t="inlineStr">
        <is>
          <t>Total Travel Speed (General)</t>
        </is>
      </c>
      <c r="B64" s="24">
        <f>D10+D13+D38+D61+D16</f>
        <v/>
      </c>
      <c r="C64" s="6" t="n"/>
      <c r="D64" s="6" t="n"/>
      <c r="E64" s="6" t="n"/>
      <c r="F64" s="6" t="n"/>
      <c r="G64" s="6" t="n"/>
    </row>
    <row r="65" ht="15.75" customHeight="1">
      <c r="A65" s="25" t="inlineStr">
        <is>
          <t>Speed Example (Hrs)</t>
        </is>
      </c>
      <c r="B65" s="25" t="n">
        <v>10</v>
      </c>
      <c r="C65" s="6" t="n"/>
      <c r="D65" s="6" t="n"/>
      <c r="E65" s="6" t="n"/>
      <c r="F65" s="6" t="n"/>
      <c r="G65" s="6" t="n"/>
    </row>
    <row r="66" ht="15.75" customHeight="1">
      <c r="A66" s="25" t="inlineStr">
        <is>
          <t>Actual Time (General)</t>
        </is>
      </c>
      <c r="B66" s="26">
        <f>$B$65/(1+$B$64/100)</f>
        <v/>
      </c>
      <c r="C66" s="6" t="n"/>
      <c r="D66" s="6" t="n"/>
      <c r="E66" s="6" t="n"/>
      <c r="F66" s="6" t="n"/>
      <c r="G66" s="6" t="n"/>
    </row>
    <row r="67" ht="15.75" customHeight="1">
      <c r="A67" s="6" t="n"/>
      <c r="B67" s="6" t="n"/>
      <c r="C67" s="6" t="n"/>
      <c r="D67" s="6" t="n"/>
      <c r="E67" s="6" t="n"/>
      <c r="F67" s="6" t="n"/>
      <c r="G67" s="6" t="n"/>
    </row>
    <row r="68" ht="15.75" customHeight="1">
      <c r="A68" s="16" t="inlineStr">
        <is>
          <t>AREA SPECIFIC</t>
        </is>
      </c>
      <c r="B68" s="2" t="n"/>
      <c r="C68" s="2" t="n"/>
      <c r="D68" s="2" t="n"/>
      <c r="E68" s="2" t="n"/>
      <c r="F68" s="2" t="n"/>
      <c r="G68" s="3" t="n"/>
    </row>
    <row r="69" ht="15.75" customHeight="1">
      <c r="A69" s="1" t="inlineStr">
        <is>
          <t>KORYEO</t>
        </is>
      </c>
      <c r="B69" s="2" t="n"/>
      <c r="C69" s="2" t="n"/>
      <c r="D69" s="2" t="n"/>
      <c r="E69" s="2" t="n"/>
      <c r="F69" s="2" t="n"/>
      <c r="G69" s="3" t="n"/>
    </row>
    <row r="70" ht="15.75" customHeight="1">
      <c r="A70" s="8" t="inlineStr">
        <is>
          <t xml:space="preserve">   INTEL</t>
        </is>
      </c>
      <c r="B70" s="6" t="n"/>
      <c r="C70" s="6" t="n"/>
      <c r="D70" s="6" t="n">
        <v>15</v>
      </c>
      <c r="E70" s="6" t="n"/>
      <c r="F70" s="6" t="n"/>
      <c r="G70" s="7" t="n"/>
    </row>
    <row r="71" ht="15.75" customHeight="1">
      <c r="A71" s="8" t="inlineStr">
        <is>
          <t xml:space="preserve">   Aries</t>
        </is>
      </c>
      <c r="B71" s="9" t="inlineStr">
        <is>
          <t>SSS</t>
        </is>
      </c>
      <c r="C71" s="6" t="inlineStr">
        <is>
          <t>CIV</t>
        </is>
      </c>
      <c r="D71" s="6" t="n">
        <v>9</v>
      </c>
      <c r="E71" s="6" t="n"/>
      <c r="F71" s="6" t="n"/>
      <c r="G71" s="7" t="inlineStr">
        <is>
          <t>Supreme Relic ($1k)</t>
        </is>
      </c>
    </row>
    <row r="72" ht="15.75" customHeight="1">
      <c r="A72" s="25" t="inlineStr">
        <is>
          <t>Total Travel Speed (Koryeo)</t>
        </is>
      </c>
      <c r="B72" s="25">
        <f>$B$64+SUM(D70:D71)</f>
        <v/>
      </c>
      <c r="C72" s="6" t="n"/>
      <c r="D72" s="6" t="n"/>
      <c r="E72" s="6" t="n"/>
      <c r="F72" s="6" t="n"/>
      <c r="G72" s="7" t="n"/>
    </row>
    <row r="73" ht="15.75" customHeight="1">
      <c r="A73" s="25" t="inlineStr">
        <is>
          <t>Actual Time (Koryeo)</t>
        </is>
      </c>
      <c r="B73" s="26">
        <f>$B$65/(1+$B72/100)</f>
        <v/>
      </c>
      <c r="C73" s="14" t="n"/>
      <c r="D73" s="14" t="n"/>
      <c r="E73" s="14" t="n"/>
      <c r="F73" s="14" t="n"/>
      <c r="G73" s="21" t="n"/>
    </row>
    <row r="74" ht="15.75" customHeight="1">
      <c r="A74" s="8" t="n"/>
      <c r="B74" s="6" t="n"/>
      <c r="C74" s="6" t="n"/>
      <c r="D74" s="6" t="n"/>
      <c r="E74" s="6" t="n"/>
      <c r="F74" s="6" t="n"/>
      <c r="G74" s="7" t="n"/>
    </row>
    <row r="75" ht="15.75" customHeight="1">
      <c r="A75" s="1" t="inlineStr">
        <is>
          <t>YAMATO</t>
        </is>
      </c>
      <c r="B75" s="2" t="n"/>
      <c r="C75" s="2" t="n"/>
      <c r="D75" s="2" t="n"/>
      <c r="E75" s="2" t="n"/>
      <c r="F75" s="2" t="n"/>
      <c r="G75" s="3" t="n"/>
    </row>
    <row r="76" ht="15.75" customHeight="1">
      <c r="A76" s="8" t="inlineStr">
        <is>
          <t xml:space="preserve">   INTEL</t>
        </is>
      </c>
      <c r="B76" s="6" t="n"/>
      <c r="C76" s="6" t="n"/>
      <c r="D76" s="6" t="n">
        <v>15</v>
      </c>
      <c r="E76" s="6" t="n"/>
      <c r="F76" s="6" t="n"/>
      <c r="G76" s="7" t="n"/>
    </row>
    <row r="77" ht="15.75" customHeight="1">
      <c r="A77" s="8" t="inlineStr">
        <is>
          <t xml:space="preserve">   Taurus</t>
        </is>
      </c>
      <c r="B77" s="9" t="inlineStr">
        <is>
          <t>SSS</t>
        </is>
      </c>
      <c r="C77" s="9" t="inlineStr">
        <is>
          <t>ART</t>
        </is>
      </c>
      <c r="D77" s="6" t="n">
        <v>9</v>
      </c>
      <c r="E77" s="6" t="n"/>
      <c r="F77" s="6" t="n"/>
      <c r="G77" s="7" t="inlineStr">
        <is>
          <t>Supreme Relic ($4k)</t>
        </is>
      </c>
    </row>
    <row r="78" ht="15.75" customHeight="1">
      <c r="A78" s="25" t="inlineStr">
        <is>
          <t>Total Travel Speed (Yamato)</t>
        </is>
      </c>
      <c r="B78" s="25">
        <f>$B$64+SUM(D76:D77)</f>
        <v/>
      </c>
      <c r="C78" s="6" t="n"/>
      <c r="D78" s="6" t="n"/>
      <c r="E78" s="6" t="n"/>
      <c r="F78" s="6" t="n"/>
      <c r="G78" s="7" t="n"/>
    </row>
    <row r="79" ht="15.75" customHeight="1">
      <c r="A79" s="25" t="inlineStr">
        <is>
          <t>Actual Time (Yamato)</t>
        </is>
      </c>
      <c r="B79" s="26">
        <f>$B$65/(1+$B78/100)</f>
        <v/>
      </c>
      <c r="C79" s="14" t="n"/>
      <c r="D79" s="14" t="n"/>
      <c r="E79" s="14" t="n"/>
      <c r="F79" s="14" t="n"/>
      <c r="G79" s="21" t="n"/>
    </row>
    <row r="80" ht="15.75" customHeight="1">
      <c r="A80" s="8" t="n"/>
      <c r="B80" s="6" t="n"/>
      <c r="C80" s="6" t="n"/>
      <c r="D80" s="6" t="n"/>
      <c r="E80" s="6" t="n"/>
      <c r="F80" s="6" t="n"/>
      <c r="G80" s="7" t="n"/>
    </row>
    <row r="81" ht="15.75" customHeight="1">
      <c r="A81" s="1" t="inlineStr">
        <is>
          <t>CATHAY</t>
        </is>
      </c>
      <c r="B81" s="2" t="n"/>
      <c r="C81" s="2" t="n"/>
      <c r="D81" s="2" t="n"/>
      <c r="E81" s="2" t="n"/>
      <c r="F81" s="2" t="n"/>
      <c r="G81" s="3" t="n"/>
    </row>
    <row r="82" ht="15.75" customHeight="1">
      <c r="A82" s="8" t="inlineStr">
        <is>
          <t xml:space="preserve">   INTEL</t>
        </is>
      </c>
      <c r="B82" s="6" t="n"/>
      <c r="C82" s="6" t="n"/>
      <c r="D82" s="6" t="n">
        <v>20</v>
      </c>
      <c r="E82" s="6" t="n"/>
      <c r="F82" s="6" t="n"/>
      <c r="G82" s="7" t="n"/>
    </row>
    <row r="83" ht="15.75" customHeight="1">
      <c r="A83" s="8" t="inlineStr">
        <is>
          <t xml:space="preserve">   Somersault Cloud</t>
        </is>
      </c>
      <c r="B83" s="9" t="inlineStr">
        <is>
          <t>SSS</t>
        </is>
      </c>
      <c r="C83" s="6" t="inlineStr">
        <is>
          <t>FTH</t>
        </is>
      </c>
      <c r="D83" s="6" t="n">
        <v>9</v>
      </c>
      <c r="E83" s="6" t="n"/>
      <c r="F83" s="6" t="n"/>
      <c r="G83" s="7" t="n"/>
    </row>
    <row r="84" ht="15.75" customHeight="1">
      <c r="A84" s="8" t="inlineStr">
        <is>
          <t xml:space="preserve">   Gemini</t>
        </is>
      </c>
      <c r="B84" s="9" t="inlineStr">
        <is>
          <t>SSS</t>
        </is>
      </c>
      <c r="C84" s="6" t="inlineStr">
        <is>
          <t>FTH</t>
        </is>
      </c>
      <c r="D84" s="6" t="n">
        <v>9</v>
      </c>
      <c r="E84" s="6" t="n"/>
      <c r="F84" s="6" t="n"/>
      <c r="G84" s="7" t="inlineStr">
        <is>
          <t>Supreme Relic ($?k)</t>
        </is>
      </c>
    </row>
    <row r="85" ht="15.75" customHeight="1">
      <c r="A85" s="25" t="inlineStr">
        <is>
          <t>Total Travel Speed (Cathay)</t>
        </is>
      </c>
      <c r="B85" s="25">
        <f>$B$64+SUM(D82:D84)</f>
        <v/>
      </c>
      <c r="C85" s="6" t="n"/>
      <c r="D85" s="6" t="n"/>
      <c r="E85" s="6" t="n"/>
      <c r="F85" s="6" t="n"/>
      <c r="G85" s="7" t="n"/>
    </row>
    <row r="86" ht="15.75" customHeight="1">
      <c r="A86" s="25" t="inlineStr">
        <is>
          <t>Actual Time (Cathay)</t>
        </is>
      </c>
      <c r="B86" s="26">
        <f>$B$65/(1+$B85/100)</f>
        <v/>
      </c>
      <c r="C86" s="14" t="n"/>
      <c r="D86" s="14" t="n"/>
      <c r="E86" s="14" t="n"/>
      <c r="F86" s="14" t="n"/>
      <c r="G86" s="21" t="n"/>
    </row>
    <row r="87" ht="15.75" customHeight="1">
      <c r="A87" s="8" t="n"/>
      <c r="B87" s="6" t="n"/>
      <c r="C87" s="6" t="n"/>
      <c r="D87" s="6" t="n"/>
      <c r="E87" s="6" t="n"/>
      <c r="F87" s="6" t="n"/>
      <c r="G87" s="7" t="n"/>
    </row>
    <row r="88" ht="15.75" customHeight="1">
      <c r="A88" s="1" t="inlineStr">
        <is>
          <t>MURIKA</t>
        </is>
      </c>
      <c r="B88" s="2" t="n"/>
      <c r="C88" s="2" t="n"/>
      <c r="D88" s="2" t="n"/>
      <c r="E88" s="2" t="n"/>
      <c r="F88" s="2" t="n"/>
      <c r="G88" s="3" t="n"/>
    </row>
    <row r="89" ht="15.75" customHeight="1">
      <c r="A89" s="8" t="inlineStr">
        <is>
          <t xml:space="preserve">   INTEL</t>
        </is>
      </c>
      <c r="B89" s="6" t="n"/>
      <c r="C89" s="6" t="n"/>
      <c r="D89" s="6" t="n">
        <v>10</v>
      </c>
      <c r="E89" s="6" t="n"/>
      <c r="F89" s="6" t="n"/>
      <c r="G89" s="7" t="n"/>
    </row>
    <row r="90" ht="15.75" customHeight="1">
      <c r="A90" s="8" t="inlineStr">
        <is>
          <t xml:space="preserve">   Blink Steward</t>
        </is>
      </c>
      <c r="B90" s="6" t="n"/>
      <c r="C90" s="6" t="n"/>
      <c r="D90" s="6" t="n">
        <v>3</v>
      </c>
      <c r="E90" s="6" t="n"/>
      <c r="F90" s="6" t="n"/>
      <c r="G90" s="7" t="n"/>
    </row>
    <row r="91" ht="15.75" customHeight="1">
      <c r="A91" s="8" t="inlineStr">
        <is>
          <t xml:space="preserve">   Cancer</t>
        </is>
      </c>
      <c r="B91" s="9" t="inlineStr">
        <is>
          <t>SSS</t>
        </is>
      </c>
      <c r="C91" s="9" t="inlineStr">
        <is>
          <t>ART</t>
        </is>
      </c>
      <c r="D91" s="6" t="n">
        <v>9</v>
      </c>
      <c r="E91" s="6" t="n"/>
      <c r="F91" s="6" t="n"/>
      <c r="G91" s="7" t="inlineStr">
        <is>
          <t>Supreme Relic ($12k)</t>
        </is>
      </c>
    </row>
    <row r="92" ht="15.75" customHeight="1">
      <c r="A92" s="27" t="inlineStr">
        <is>
          <t>Total Travel Speed (Murika)</t>
        </is>
      </c>
      <c r="B92" s="25">
        <f>$B$64+SUM(D89:D91)</f>
        <v/>
      </c>
      <c r="C92" s="28" t="n"/>
      <c r="D92" s="28" t="n"/>
      <c r="E92" s="28" t="n"/>
      <c r="F92" s="28" t="n"/>
      <c r="G92" s="29" t="n"/>
      <c r="H92" s="28" t="n"/>
    </row>
    <row r="93" ht="15.75" customHeight="1">
      <c r="A93" s="27" t="inlineStr">
        <is>
          <t>Actual Time (Murika)</t>
        </is>
      </c>
      <c r="B93" s="26">
        <f>$B$65/(1+$B92/100)</f>
        <v/>
      </c>
      <c r="C93" s="30" t="n"/>
      <c r="D93" s="30" t="n"/>
      <c r="E93" s="30" t="n"/>
      <c r="F93" s="30" t="n"/>
      <c r="G93" s="31" t="n"/>
      <c r="H93" s="28" t="n"/>
    </row>
    <row r="94" ht="15.75" customHeight="1">
      <c r="A94" s="32" t="n"/>
      <c r="B94" s="28" t="n"/>
      <c r="C94" s="28" t="n"/>
      <c r="D94" s="28" t="n"/>
      <c r="E94" s="28" t="n"/>
      <c r="F94" s="28" t="n"/>
      <c r="G94" s="29" t="n"/>
      <c r="H94" s="28" t="n"/>
    </row>
    <row r="95" ht="15.75" customHeight="1">
      <c r="A95" s="1" t="inlineStr">
        <is>
          <t>BRITLAND</t>
        </is>
      </c>
      <c r="B95" s="2" t="n"/>
      <c r="C95" s="2" t="n"/>
      <c r="D95" s="2" t="n"/>
      <c r="E95" s="2" t="n"/>
      <c r="F95" s="2" t="n"/>
      <c r="G95" s="3" t="n"/>
    </row>
    <row r="96" ht="15.75" customHeight="1">
      <c r="A96" s="8" t="inlineStr">
        <is>
          <t xml:space="preserve">   INTEL</t>
        </is>
      </c>
      <c r="B96" s="6" t="n"/>
      <c r="C96" s="6" t="n"/>
      <c r="D96" s="6" t="n">
        <v>15</v>
      </c>
      <c r="E96" s="6" t="n"/>
      <c r="F96" s="6" t="n"/>
      <c r="G96" s="7" t="n"/>
    </row>
    <row r="97" ht="15.75" customHeight="1">
      <c r="A97" s="8" t="inlineStr">
        <is>
          <t xml:space="preserve">   Book of the Dead</t>
        </is>
      </c>
      <c r="B97" s="9" t="inlineStr">
        <is>
          <t>SSS</t>
        </is>
      </c>
      <c r="C97" s="6" t="inlineStr">
        <is>
          <t>FTH</t>
        </is>
      </c>
      <c r="D97" s="6" t="n">
        <v>9</v>
      </c>
      <c r="E97" s="6" t="n"/>
      <c r="F97" s="6" t="n"/>
      <c r="G97" s="7" t="inlineStr">
        <is>
          <t>Traveler Member Reward ($2.99), Premium Member Reward ($49.99)</t>
        </is>
      </c>
    </row>
    <row r="98" ht="15.75" customHeight="1">
      <c r="A98" s="8" t="inlineStr">
        <is>
          <t xml:space="preserve">   Leo</t>
        </is>
      </c>
      <c r="B98" s="9" t="inlineStr">
        <is>
          <t>SSS</t>
        </is>
      </c>
      <c r="C98" s="9" t="inlineStr">
        <is>
          <t>FAME</t>
        </is>
      </c>
      <c r="D98" s="6" t="n">
        <v>9</v>
      </c>
      <c r="E98" s="6" t="n"/>
      <c r="F98" s="6" t="n"/>
      <c r="G98" s="7" t="inlineStr">
        <is>
          <t>Supreme Relic ($20k)</t>
        </is>
      </c>
    </row>
    <row r="99" ht="15.75" customHeight="1">
      <c r="A99" s="27" t="inlineStr">
        <is>
          <t>Total Travel Speed (Britland)</t>
        </is>
      </c>
      <c r="B99" s="25">
        <f>$B$64+SUM(D96:D98)</f>
        <v/>
      </c>
      <c r="C99" s="28" t="n"/>
      <c r="D99" s="28" t="n"/>
      <c r="E99" s="28" t="n"/>
      <c r="F99" s="28" t="n"/>
      <c r="G99" s="29" t="n"/>
      <c r="H99" s="28" t="n"/>
    </row>
    <row r="100" ht="15.75" customHeight="1">
      <c r="A100" s="27" t="inlineStr">
        <is>
          <t>Actual Time (Britland)</t>
        </is>
      </c>
      <c r="B100" s="26">
        <f>$B$65/(1+$B99/100)</f>
        <v/>
      </c>
      <c r="C100" s="30" t="n"/>
      <c r="D100" s="30" t="n"/>
      <c r="E100" s="30" t="n"/>
      <c r="F100" s="30" t="n"/>
      <c r="G100" s="31" t="n"/>
      <c r="H100" s="28" t="n"/>
    </row>
    <row r="101" ht="15.75" customHeight="1">
      <c r="A101" s="32" t="n"/>
      <c r="B101" s="28" t="n"/>
      <c r="C101" s="28" t="n"/>
      <c r="D101" s="28" t="n"/>
      <c r="E101" s="28" t="n"/>
      <c r="F101" s="28" t="n"/>
      <c r="G101" s="29" t="n"/>
      <c r="H101" s="28" t="n"/>
    </row>
    <row r="102" ht="15.75" customHeight="1">
      <c r="A102" s="1" t="inlineStr">
        <is>
          <t>KEMET</t>
        </is>
      </c>
      <c r="B102" s="2" t="n"/>
      <c r="C102" s="2" t="n"/>
      <c r="D102" s="2" t="n"/>
      <c r="E102" s="2" t="n"/>
      <c r="F102" s="2" t="n"/>
      <c r="G102" s="3" t="n"/>
    </row>
    <row r="103" ht="15.75" customHeight="1">
      <c r="A103" s="8" t="inlineStr">
        <is>
          <t xml:space="preserve">   INTEL</t>
        </is>
      </c>
      <c r="B103" s="6" t="n"/>
      <c r="C103" s="6" t="n"/>
      <c r="D103" s="6" t="n">
        <v>15</v>
      </c>
      <c r="E103" s="6" t="n"/>
      <c r="F103" s="6" t="n"/>
      <c r="G103" s="7" t="n"/>
    </row>
    <row r="104" ht="15.75" customHeight="1">
      <c r="A104" s="32" t="inlineStr">
        <is>
          <t xml:space="preserve">   Gutenberg's Press</t>
        </is>
      </c>
      <c r="B104" s="9" t="inlineStr">
        <is>
          <t>SSS</t>
        </is>
      </c>
      <c r="C104" s="28" t="inlineStr">
        <is>
          <t>CIV</t>
        </is>
      </c>
      <c r="D104" s="28" t="n">
        <v>9</v>
      </c>
      <c r="E104" s="28" t="n"/>
      <c r="F104" s="28" t="n"/>
      <c r="G104" s="29" t="inlineStr">
        <is>
          <t>Daily Pack</t>
        </is>
      </c>
      <c r="H104" s="28" t="n"/>
    </row>
    <row r="105" ht="15.75" customHeight="1">
      <c r="A105" s="32" t="inlineStr">
        <is>
          <t xml:space="preserve">   Virgo</t>
        </is>
      </c>
      <c r="B105" s="9" t="inlineStr">
        <is>
          <t>SSS</t>
        </is>
      </c>
      <c r="C105" s="9" t="inlineStr">
        <is>
          <t>FTH</t>
        </is>
      </c>
      <c r="D105" s="28" t="n">
        <v>9</v>
      </c>
      <c r="E105" s="28" t="n"/>
      <c r="F105" s="28" t="n"/>
      <c r="G105" s="29" t="inlineStr">
        <is>
          <t>Supreme Relic ($?k)</t>
        </is>
      </c>
      <c r="H105" s="28" t="n"/>
    </row>
    <row r="106" ht="15.75" customHeight="1">
      <c r="A106" s="27" t="inlineStr">
        <is>
          <t>Total Travel Speed (Kemet)</t>
        </is>
      </c>
      <c r="B106" s="25">
        <f>$B$64+SUM(D103:D105)</f>
        <v/>
      </c>
      <c r="C106" s="28" t="n"/>
      <c r="D106" s="28" t="n"/>
      <c r="E106" s="28" t="n"/>
      <c r="F106" s="28" t="n"/>
      <c r="G106" s="29" t="n"/>
      <c r="H106" s="28" t="n"/>
    </row>
    <row r="107" ht="15.75" customHeight="1">
      <c r="A107" s="27" t="inlineStr">
        <is>
          <t>Actual Time (Kemet)</t>
        </is>
      </c>
      <c r="B107" s="26">
        <f>$B$65/(1+$B106/100)</f>
        <v/>
      </c>
      <c r="C107" s="30" t="n"/>
      <c r="D107" s="30" t="n"/>
      <c r="E107" s="30" t="n"/>
      <c r="F107" s="30" t="n"/>
      <c r="G107" s="31" t="n"/>
      <c r="H107" s="28" t="n"/>
    </row>
    <row r="108" ht="15.75" customHeight="1">
      <c r="A108" s="28" t="n"/>
      <c r="B108" s="28" t="n"/>
      <c r="C108" s="28" t="n"/>
      <c r="D108" s="28" t="n"/>
      <c r="E108" s="28" t="n"/>
      <c r="F108" s="28" t="n"/>
      <c r="G108" s="28" t="n"/>
      <c r="H108" s="28" t="n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2026-04-25T21:14:51Z</dcterms:created>
  <dcterms:modified xmlns:dcterms="http://purl.org/dc/terms/" xmlns:xsi="http://www.w3.org/2001/XMLSchema-instance" xsi:type="dcterms:W3CDTF">2026-04-25T21:14:51Z</dcterms:modified>
</cp:coreProperties>
</file>