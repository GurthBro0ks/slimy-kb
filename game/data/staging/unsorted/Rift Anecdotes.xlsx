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ft Anecdo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Verdana"/>
      <b val="1"/>
      <color theme="1"/>
      <scheme val="minor"/>
    </font>
    <font>
      <name val="Verdana"/>
      <color theme="1"/>
      <scheme val="minor"/>
    </font>
    <font>
      <name val="Calibri"/>
      <color theme="1"/>
    </font>
    <font>
      <name val="Calibri"/>
      <b val="1"/>
      <color theme="1"/>
    </font>
    <font>
      <name val="Verdana"/>
      <b val="1"/>
      <color rgb="FFFFFFFF"/>
      <scheme val="minor"/>
    </font>
    <font>
      <name val="Verdana"/>
      <color rgb="FFFFFFFF"/>
      <scheme val="minor"/>
    </font>
    <font>
      <name val="Calibri"/>
      <b val="1"/>
      <color rgb="FFFFFFFF"/>
    </font>
    <font>
      <name val="Calibri"/>
      <color theme="1"/>
      <sz val="12"/>
    </font>
    <font>
      <name val="Calibri"/>
      <color rgb="FFFFFFFF"/>
    </font>
  </fonts>
  <fills count="5">
    <fill>
      <patternFill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E0F7FA"/>
        <bgColor rgb="FFE0F7FA"/>
      </patternFill>
    </fill>
    <fill>
      <patternFill patternType="solid">
        <fgColor rgb="FFFFE6DD"/>
        <bgColor rgb="FFFFE6DD"/>
      </patternFill>
    </fill>
  </fills>
  <borders count="6">
    <border>
      <left/>
      <right/>
      <top/>
      <bottom/>
      <diagonal/>
    </border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1" fillId="0" borderId="2" pivotButton="0" quotePrefix="0" xfId="0"/>
    <xf numFmtId="0" fontId="2" fillId="0" borderId="3" pivotButton="0" quotePrefix="0" xfId="0"/>
    <xf numFmtId="0" fontId="3" fillId="2" borderId="4" pivotButton="0" quotePrefix="0" xfId="0"/>
    <xf numFmtId="0" fontId="3" fillId="0" borderId="5" applyAlignment="1" pivotButton="0" quotePrefix="0" xfId="0">
      <alignment horizontal="center"/>
    </xf>
    <xf numFmtId="0" fontId="3" fillId="0" borderId="5" pivotButton="0" quotePrefix="0" xfId="0"/>
    <xf numFmtId="0" fontId="3" fillId="3" borderId="5" applyAlignment="1" pivotButton="0" quotePrefix="0" xfId="0">
      <alignment horizontal="center"/>
    </xf>
    <xf numFmtId="0" fontId="4" fillId="3" borderId="5" applyAlignment="1" pivotButton="0" quotePrefix="0" xfId="0">
      <alignment horizontal="center"/>
    </xf>
    <xf numFmtId="0" fontId="3" fillId="4" borderId="5" applyAlignment="1" pivotButton="0" quotePrefix="0" xfId="0">
      <alignment horizontal="center"/>
    </xf>
    <xf numFmtId="0" fontId="4" fillId="4" borderId="5" applyAlignment="1" pivotButton="0" quotePrefix="0" xfId="0">
      <alignment horizontal="center"/>
    </xf>
    <xf numFmtId="0" fontId="5" fillId="0" borderId="2" pivotButton="0" quotePrefix="0" xfId="0"/>
    <xf numFmtId="0" fontId="6" fillId="0" borderId="3" pivotButton="0" quotePrefix="0" xfId="0"/>
    <xf numFmtId="0" fontId="6" fillId="0" borderId="4" pivotButton="0" quotePrefix="0" xfId="0"/>
    <xf numFmtId="0" fontId="7" fillId="0" borderId="5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5" applyAlignment="1" pivotButton="0" quotePrefix="0" xfId="0">
      <alignment horizontal="left"/>
    </xf>
    <xf numFmtId="0" fontId="9" fillId="0" borderId="4" pivotButton="0" quotePrefix="0" xfId="0"/>
    <xf numFmtId="0" fontId="3" fillId="0" borderId="5" applyAlignment="1" pivotButton="0" quotePrefix="0" xfId="0">
      <alignment horizontal="left"/>
    </xf>
    <xf numFmtId="41" fontId="3" fillId="0" borderId="5" applyAlignment="1" pivotButton="0" quotePrefix="0" xfId="0">
      <alignment horizontal="center"/>
    </xf>
    <xf numFmtId="41" fontId="8" fillId="0" borderId="5" applyAlignment="1" pivotButton="0" quotePrefix="0" xfId="0">
      <alignment horizontal="center"/>
    </xf>
    <xf numFmtId="41" fontId="8" fillId="0" borderId="5" pivotButton="0" quotePrefix="0" xfId="0"/>
    <xf numFmtId="0" fontId="2" fillId="0" borderId="4" pivotButton="0" quotePrefix="0" xfId="0"/>
    <xf numFmtId="0" fontId="4" fillId="0" borderId="5" applyAlignment="1" pivotButton="0" quotePrefix="0" xfId="0">
      <alignment horizontal="center"/>
    </xf>
    <xf numFmtId="0" fontId="3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23"/>
  <sheetViews>
    <sheetView workbookViewId="0">
      <selection activeCell="A1" sqref="A1"/>
    </sheetView>
  </sheetViews>
  <sheetFormatPr baseColWidth="8" defaultRowHeight="15"/>
  <cols>
    <col width="2.91" customWidth="1" min="1" max="1"/>
    <col width="17.27" customWidth="1" min="2" max="2"/>
    <col width="6.45" customWidth="1" min="3" max="3"/>
    <col width="8.09" customWidth="1" min="4" max="4"/>
    <col width="9.449999999999999" customWidth="1" min="6" max="6"/>
    <col width="9.91" customWidth="1" min="7" max="7"/>
    <col width="7.55" customWidth="1" min="8" max="8"/>
    <col width="8.91" customWidth="1" min="9" max="9"/>
    <col width="8.640000000000001" customWidth="1" min="10" max="10"/>
    <col width="8.449999999999999" customWidth="1" min="11" max="11"/>
    <col width="9.27" customWidth="1" min="12" max="12"/>
    <col width="16.27" customWidth="1" min="24" max="24"/>
  </cols>
  <sheetData>
    <row r="1">
      <c r="A1" s="1" t="inlineStr">
        <is>
          <t xml:space="preserve">Note: </t>
        </is>
      </c>
      <c r="C1" s="2" t="inlineStr">
        <is>
          <t>Baseline data is pulled from Raigetsuki and drifter usage may not be optimal</t>
        </is>
      </c>
    </row>
    <row r="2">
      <c r="A2" s="1" t="n"/>
      <c r="M2" s="3" t="n"/>
      <c r="N2" s="3" t="n"/>
    </row>
    <row r="3">
      <c r="A3" s="1" t="n"/>
      <c r="M3" s="3" t="n"/>
      <c r="N3" s="3" t="n"/>
    </row>
    <row r="4">
      <c r="A4" s="4" t="inlineStr">
        <is>
          <t>Dance (Hellas)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6" t="n"/>
      <c r="N4" s="6" t="n"/>
      <c r="O4" s="3" t="n"/>
    </row>
    <row r="5">
      <c r="A5" s="7" t="inlineStr">
        <is>
          <t>No.</t>
        </is>
      </c>
      <c r="B5" s="8" t="inlineStr">
        <is>
          <t>Name</t>
        </is>
      </c>
      <c r="C5" s="8" t="inlineStr">
        <is>
          <t>Setting</t>
        </is>
      </c>
      <c r="D5" s="7" t="inlineStr">
        <is>
          <t>Score 1</t>
        </is>
      </c>
      <c r="E5" s="7" t="inlineStr">
        <is>
          <t>Score 2</t>
        </is>
      </c>
      <c r="F5" s="7" t="inlineStr">
        <is>
          <t>Score 3</t>
        </is>
      </c>
      <c r="G5" s="7" t="inlineStr">
        <is>
          <t>Score 4</t>
        </is>
      </c>
      <c r="H5" s="7" t="inlineStr">
        <is>
          <t>Score 5</t>
        </is>
      </c>
      <c r="I5" s="7" t="inlineStr">
        <is>
          <t>Athena</t>
        </is>
      </c>
      <c r="J5" s="7" t="inlineStr">
        <is>
          <t>Idol</t>
        </is>
      </c>
      <c r="K5" s="7" t="inlineStr">
        <is>
          <t>Idol Level</t>
        </is>
      </c>
      <c r="L5" s="7" t="inlineStr">
        <is>
          <t>Excalibra Level</t>
        </is>
      </c>
      <c r="M5" s="7" t="inlineStr">
        <is>
          <t>Amakusa Level</t>
        </is>
      </c>
      <c r="N5" s="7" t="inlineStr">
        <is>
          <t>Commissioner</t>
        </is>
      </c>
      <c r="O5" s="3" t="n"/>
      <c r="X5" s="8" t="inlineStr">
        <is>
          <t>Name</t>
        </is>
      </c>
      <c r="Y5" s="7" t="inlineStr">
        <is>
          <t>Score 1</t>
        </is>
      </c>
      <c r="Z5" s="7" t="inlineStr">
        <is>
          <t>Score 2</t>
        </is>
      </c>
      <c r="AA5" s="7" t="inlineStr">
        <is>
          <t>Score 3</t>
        </is>
      </c>
      <c r="AB5" s="7" t="inlineStr">
        <is>
          <t>Score 4</t>
        </is>
      </c>
      <c r="AC5" s="7" t="inlineStr">
        <is>
          <t>Score 5</t>
        </is>
      </c>
    </row>
    <row r="6">
      <c r="A6" s="7" t="n">
        <v>8</v>
      </c>
      <c r="B6" s="8" t="inlineStr">
        <is>
          <t>Feather Garment Dance</t>
        </is>
      </c>
      <c r="C6" s="8" t="inlineStr">
        <is>
          <t>AD 755</t>
        </is>
      </c>
      <c r="D6" s="9" t="n">
        <v>1668</v>
      </c>
      <c r="E6" s="10" t="n">
        <v>2238</v>
      </c>
      <c r="F6" s="9" t="n">
        <v>1992</v>
      </c>
      <c r="G6" s="10" t="n">
        <v>1605</v>
      </c>
      <c r="H6" s="10" t="n">
        <v>1605</v>
      </c>
      <c r="I6" s="7" t="inlineStr">
        <is>
          <t>2nd</t>
        </is>
      </c>
      <c r="J6" s="7" t="inlineStr">
        <is>
          <t>5th</t>
        </is>
      </c>
      <c r="K6" s="7" t="n"/>
      <c r="L6" s="7" t="n"/>
      <c r="M6" s="7" t="n"/>
      <c r="N6" s="7" t="n"/>
      <c r="O6" s="3" t="n"/>
      <c r="X6" s="8" t="inlineStr">
        <is>
          <t>Feather Garment Dance</t>
        </is>
      </c>
      <c r="Y6" s="9" t="inlineStr">
        <is>
          <t>Male</t>
        </is>
      </c>
      <c r="Z6" s="9" t="inlineStr">
        <is>
          <t>Male</t>
        </is>
      </c>
      <c r="AA6" s="9" t="inlineStr">
        <is>
          <t>Male</t>
        </is>
      </c>
      <c r="AB6" s="9" t="inlineStr">
        <is>
          <t>Male</t>
        </is>
      </c>
      <c r="AC6" s="9" t="inlineStr">
        <is>
          <t>Male</t>
        </is>
      </c>
    </row>
    <row r="7">
      <c r="A7" s="7" t="n">
        <v>15</v>
      </c>
      <c r="B7" s="8" t="inlineStr">
        <is>
          <t>Versailles Palace Ball</t>
        </is>
      </c>
      <c r="C7" s="8" t="inlineStr">
        <is>
          <t>AD 1701</t>
        </is>
      </c>
      <c r="D7" s="11" t="n">
        <v>2733</v>
      </c>
      <c r="E7" s="9" t="n">
        <v>3651</v>
      </c>
      <c r="F7" s="10" t="n">
        <v>3252</v>
      </c>
      <c r="G7" s="12" t="n">
        <v>2589</v>
      </c>
      <c r="H7" s="12" t="n">
        <v>2589</v>
      </c>
      <c r="I7" s="7" t="inlineStr">
        <is>
          <t>3rd</t>
        </is>
      </c>
      <c r="J7" s="7" t="inlineStr">
        <is>
          <t>5th</t>
        </is>
      </c>
      <c r="K7" s="7" t="n"/>
      <c r="L7" s="7" t="n"/>
      <c r="M7" s="7" t="n"/>
      <c r="N7" s="7" t="n"/>
      <c r="O7" s="3" t="n"/>
      <c r="X7" s="8" t="inlineStr">
        <is>
          <t>Versailles Palace Ball</t>
        </is>
      </c>
      <c r="Y7" s="11" t="inlineStr">
        <is>
          <t>Female</t>
        </is>
      </c>
      <c r="Z7" s="9" t="inlineStr">
        <is>
          <t>Male</t>
        </is>
      </c>
      <c r="AA7" s="9" t="inlineStr">
        <is>
          <t>Male</t>
        </is>
      </c>
      <c r="AB7" s="11" t="inlineStr">
        <is>
          <t>Female</t>
        </is>
      </c>
      <c r="AC7" s="11" t="inlineStr">
        <is>
          <t>Female</t>
        </is>
      </c>
    </row>
    <row r="8">
      <c r="A8" s="7" t="n">
        <v>28</v>
      </c>
      <c r="B8" s="8" t="inlineStr">
        <is>
          <t>Ball of Buckingham Palace</t>
        </is>
      </c>
      <c r="C8" s="8" t="inlineStr">
        <is>
          <t>AD 1842</t>
        </is>
      </c>
      <c r="D8" s="10" t="n">
        <v>4887</v>
      </c>
      <c r="E8" s="9" t="n">
        <v>7692</v>
      </c>
      <c r="F8" s="9" t="n">
        <v>5796</v>
      </c>
      <c r="G8" s="10" t="n">
        <v>4746</v>
      </c>
      <c r="H8" s="12" t="n">
        <v>4746</v>
      </c>
      <c r="I8" s="7" t="inlineStr">
        <is>
          <t>1st</t>
        </is>
      </c>
      <c r="J8" s="7" t="inlineStr">
        <is>
          <t>5th</t>
        </is>
      </c>
      <c r="K8" s="7" t="n"/>
      <c r="L8" s="7" t="n"/>
      <c r="M8" s="7" t="n"/>
      <c r="N8" s="7" t="n"/>
      <c r="O8" s="3" t="n"/>
      <c r="X8" s="8" t="inlineStr">
        <is>
          <t>Ball of Buckingham Palace</t>
        </is>
      </c>
      <c r="Y8" s="9" t="inlineStr">
        <is>
          <t>Male</t>
        </is>
      </c>
      <c r="Z8" s="9" t="inlineStr">
        <is>
          <t>Male</t>
        </is>
      </c>
      <c r="AA8" s="9" t="inlineStr">
        <is>
          <t>Male</t>
        </is>
      </c>
      <c r="AB8" s="9" t="inlineStr">
        <is>
          <t>Male</t>
        </is>
      </c>
      <c r="AC8" s="11" t="inlineStr">
        <is>
          <t>Female</t>
        </is>
      </c>
    </row>
    <row r="9">
      <c r="A9" s="7" t="n">
        <v>44</v>
      </c>
      <c r="B9" s="8" t="inlineStr">
        <is>
          <t>Swan Lake</t>
        </is>
      </c>
      <c r="C9" s="8" t="inlineStr">
        <is>
          <t>AD 1877</t>
        </is>
      </c>
      <c r="D9" s="9" t="n">
        <v>7803</v>
      </c>
      <c r="E9" s="11" t="n">
        <v>13125</v>
      </c>
      <c r="F9" s="10" t="n">
        <v>10755</v>
      </c>
      <c r="G9" s="12" t="n">
        <v>7800</v>
      </c>
      <c r="H9" s="12" t="n">
        <v>7800</v>
      </c>
      <c r="I9" s="7" t="inlineStr">
        <is>
          <t>3rd</t>
        </is>
      </c>
      <c r="J9" s="7" t="inlineStr">
        <is>
          <t>5th</t>
        </is>
      </c>
      <c r="K9" s="7" t="n"/>
      <c r="L9" s="7" t="n"/>
      <c r="M9" s="7" t="n"/>
      <c r="N9" s="7" t="n"/>
      <c r="O9" s="3" t="n"/>
      <c r="X9" s="8" t="inlineStr">
        <is>
          <t>Swan Lake</t>
        </is>
      </c>
      <c r="Y9" s="9" t="inlineStr">
        <is>
          <t>Male</t>
        </is>
      </c>
      <c r="Z9" s="11" t="inlineStr">
        <is>
          <t>Female</t>
        </is>
      </c>
      <c r="AA9" s="9" t="inlineStr">
        <is>
          <t>Male</t>
        </is>
      </c>
      <c r="AB9" s="11" t="inlineStr">
        <is>
          <t>Female</t>
        </is>
      </c>
      <c r="AC9" s="11" t="inlineStr">
        <is>
          <t>Female</t>
        </is>
      </c>
    </row>
    <row r="10">
      <c r="A10" s="7" t="n">
        <v>54</v>
      </c>
      <c r="B10" s="8" t="inlineStr">
        <is>
          <t>Queen Charlotte's Ball</t>
        </is>
      </c>
      <c r="C10" s="8" t="inlineStr">
        <is>
          <t>AD 1780</t>
        </is>
      </c>
      <c r="D10" s="11" t="n">
        <v>9945</v>
      </c>
      <c r="E10" s="11" t="n">
        <v>17397</v>
      </c>
      <c r="F10" s="10" t="n">
        <v>11682</v>
      </c>
      <c r="G10" s="12" t="n">
        <v>9945</v>
      </c>
      <c r="H10" s="12" t="n">
        <v>9945</v>
      </c>
      <c r="I10" s="7" t="inlineStr">
        <is>
          <t>3rd</t>
        </is>
      </c>
      <c r="J10" s="7" t="inlineStr">
        <is>
          <t>5th</t>
        </is>
      </c>
      <c r="K10" s="7" t="n"/>
      <c r="L10" s="7" t="n"/>
      <c r="M10" s="7" t="n"/>
      <c r="N10" s="7" t="n"/>
      <c r="O10" s="3" t="n"/>
      <c r="X10" s="8" t="inlineStr">
        <is>
          <t>Queen Charlotte's Ball</t>
        </is>
      </c>
      <c r="Y10" s="11" t="inlineStr">
        <is>
          <t>Female</t>
        </is>
      </c>
      <c r="Z10" s="11" t="inlineStr">
        <is>
          <t>Female</t>
        </is>
      </c>
      <c r="AA10" s="9" t="inlineStr">
        <is>
          <t>Male</t>
        </is>
      </c>
      <c r="AB10" s="11" t="inlineStr">
        <is>
          <t>Female</t>
        </is>
      </c>
      <c r="AC10" s="11" t="inlineStr">
        <is>
          <t>Female</t>
        </is>
      </c>
    </row>
    <row r="11">
      <c r="A11" s="7" t="n">
        <v>68</v>
      </c>
      <c r="B11" s="8" t="inlineStr">
        <is>
          <t>Broadway</t>
        </is>
      </c>
      <c r="C11" s="8" t="inlineStr">
        <is>
          <t>AD 1810</t>
        </is>
      </c>
      <c r="D11" s="12" t="n">
        <v>16149</v>
      </c>
      <c r="E11" s="12" t="n">
        <v>17436</v>
      </c>
      <c r="F11" s="11" t="n">
        <v>23925</v>
      </c>
      <c r="G11" s="11" t="n">
        <v>19437</v>
      </c>
      <c r="H11" s="12" t="n">
        <v>17223</v>
      </c>
      <c r="I11" s="7" t="inlineStr">
        <is>
          <t>N/A</t>
        </is>
      </c>
      <c r="J11" s="7" t="inlineStr">
        <is>
          <t>2nd</t>
        </is>
      </c>
      <c r="K11" s="7" t="n"/>
      <c r="L11" s="7" t="n"/>
      <c r="M11" s="7" t="n"/>
      <c r="N11" s="7" t="n"/>
      <c r="O11" s="3" t="n"/>
      <c r="X11" s="8" t="inlineStr">
        <is>
          <t>Broadway</t>
        </is>
      </c>
      <c r="Y11" s="11" t="inlineStr">
        <is>
          <t>Female</t>
        </is>
      </c>
      <c r="Z11" s="11" t="inlineStr">
        <is>
          <t>Female</t>
        </is>
      </c>
      <c r="AA11" s="11" t="inlineStr">
        <is>
          <t>Female</t>
        </is>
      </c>
      <c r="AB11" s="11" t="inlineStr">
        <is>
          <t>Female</t>
        </is>
      </c>
      <c r="AC11" s="11" t="inlineStr">
        <is>
          <t>Female</t>
        </is>
      </c>
    </row>
    <row r="12">
      <c r="A12" s="7" t="n">
        <v>74</v>
      </c>
      <c r="B12" s="8" t="inlineStr">
        <is>
          <t>Ball of Winter Palace</t>
        </is>
      </c>
      <c r="C12" s="8" t="inlineStr">
        <is>
          <t>AD 1903</t>
        </is>
      </c>
      <c r="D12" s="12" t="n">
        <v>18864</v>
      </c>
      <c r="E12" s="12" t="n">
        <v>20196</v>
      </c>
      <c r="F12" s="11" t="n">
        <v>28608</v>
      </c>
      <c r="G12" s="11" t="n">
        <v>22848</v>
      </c>
      <c r="H12" s="10" t="n">
        <v>20070</v>
      </c>
      <c r="I12" s="7" t="inlineStr">
        <is>
          <t>5th</t>
        </is>
      </c>
      <c r="J12" s="7" t="inlineStr">
        <is>
          <t>2nd</t>
        </is>
      </c>
      <c r="K12" s="7" t="n">
        <v>16</v>
      </c>
      <c r="L12" s="7" t="n">
        <v>12</v>
      </c>
      <c r="M12" s="7" t="n"/>
      <c r="N12" s="7" t="n"/>
      <c r="O12" s="3" t="n"/>
      <c r="X12" s="8" t="inlineStr">
        <is>
          <t>Ball of Winter Palace</t>
        </is>
      </c>
      <c r="Y12" s="11" t="inlineStr">
        <is>
          <t>Female</t>
        </is>
      </c>
      <c r="Z12" s="11" t="inlineStr">
        <is>
          <t>Female</t>
        </is>
      </c>
      <c r="AA12" s="11" t="inlineStr">
        <is>
          <t>Female</t>
        </is>
      </c>
      <c r="AB12" s="11" t="inlineStr">
        <is>
          <t>Female</t>
        </is>
      </c>
      <c r="AC12" s="9" t="inlineStr">
        <is>
          <t>Male</t>
        </is>
      </c>
    </row>
    <row r="13">
      <c r="A13" s="7" t="n">
        <v>96</v>
      </c>
      <c r="B13" s="8" t="inlineStr">
        <is>
          <t>Liberation Rite</t>
        </is>
      </c>
      <c r="C13" s="8" t="inlineStr">
        <is>
          <t>AD 627</t>
        </is>
      </c>
      <c r="D13" s="10" t="n">
        <v>23994</v>
      </c>
      <c r="E13" s="9" t="n">
        <v>27402</v>
      </c>
      <c r="F13" s="10" t="n">
        <v>41064</v>
      </c>
      <c r="G13" s="9" t="n">
        <v>24930</v>
      </c>
      <c r="H13" s="10" t="n">
        <v>24930</v>
      </c>
      <c r="I13" s="7" t="inlineStr">
        <is>
          <t>3rd</t>
        </is>
      </c>
      <c r="J13" s="7" t="inlineStr">
        <is>
          <t>1st</t>
        </is>
      </c>
      <c r="K13" s="7" t="n">
        <v>26</v>
      </c>
      <c r="L13" s="7" t="n">
        <v>20</v>
      </c>
      <c r="M13" s="7" t="n"/>
      <c r="N13" s="7" t="n"/>
      <c r="O13" s="3" t="n"/>
      <c r="X13" s="8" t="inlineStr">
        <is>
          <t>Liberation Rite</t>
        </is>
      </c>
      <c r="Y13" s="9" t="inlineStr">
        <is>
          <t>Male</t>
        </is>
      </c>
      <c r="Z13" s="9" t="inlineStr">
        <is>
          <t>Male</t>
        </is>
      </c>
      <c r="AA13" s="9" t="inlineStr">
        <is>
          <t>Male</t>
        </is>
      </c>
      <c r="AB13" s="9" t="inlineStr">
        <is>
          <t>Male</t>
        </is>
      </c>
      <c r="AC13" s="9" t="inlineStr">
        <is>
          <t>Male</t>
        </is>
      </c>
    </row>
    <row r="14">
      <c r="A14" s="7" t="n">
        <v>108</v>
      </c>
      <c r="B14" s="8" t="inlineStr">
        <is>
          <t>Great Dionysia</t>
        </is>
      </c>
      <c r="C14" s="8" t="inlineStr">
        <is>
          <t>BC 755</t>
        </is>
      </c>
      <c r="D14" s="12" t="n">
        <v>28443</v>
      </c>
      <c r="E14" s="10" t="n">
        <v>31692</v>
      </c>
      <c r="F14" s="11" t="n">
        <v>49287</v>
      </c>
      <c r="G14" s="9" t="n">
        <v>29133</v>
      </c>
      <c r="H14" s="10" t="n">
        <v>29133</v>
      </c>
      <c r="I14" s="7" t="inlineStr">
        <is>
          <t>2nd</t>
        </is>
      </c>
      <c r="J14" s="7" t="inlineStr">
        <is>
          <t>1st</t>
        </is>
      </c>
      <c r="K14" s="7" t="n">
        <v>25</v>
      </c>
      <c r="L14" s="7" t="n">
        <v>20</v>
      </c>
      <c r="M14" s="7" t="n"/>
      <c r="N14" s="7" t="n"/>
      <c r="O14" s="3" t="inlineStr">
        <is>
          <t>SYT Clear</t>
        </is>
      </c>
      <c r="X14" s="8" t="inlineStr">
        <is>
          <t>Great Dionysia</t>
        </is>
      </c>
      <c r="Y14" s="11" t="inlineStr">
        <is>
          <t>Female</t>
        </is>
      </c>
      <c r="Z14" s="9" t="inlineStr">
        <is>
          <t>Male</t>
        </is>
      </c>
      <c r="AA14" s="11" t="inlineStr">
        <is>
          <t>Female</t>
        </is>
      </c>
      <c r="AB14" s="9" t="inlineStr">
        <is>
          <t>Male</t>
        </is>
      </c>
      <c r="AC14" s="9" t="inlineStr">
        <is>
          <t>Male</t>
        </is>
      </c>
    </row>
    <row r="15">
      <c r="A15" s="7" t="n">
        <v>114</v>
      </c>
      <c r="B15" s="8" t="inlineStr">
        <is>
          <t>Sun Deity Festival</t>
        </is>
      </c>
      <c r="C15" s="8" t="inlineStr">
        <is>
          <t>BC 8047</t>
        </is>
      </c>
      <c r="D15" s="12" t="n">
        <v>31560</v>
      </c>
      <c r="E15" s="10" t="n">
        <v>34620</v>
      </c>
      <c r="F15" s="11" t="n">
        <v>55122</v>
      </c>
      <c r="G15" s="9" t="n">
        <v>32040</v>
      </c>
      <c r="H15" s="12" t="n">
        <v>32040</v>
      </c>
      <c r="I15" s="7" t="inlineStr">
        <is>
          <t>2nd</t>
        </is>
      </c>
      <c r="J15" s="7" t="inlineStr">
        <is>
          <t>5th</t>
        </is>
      </c>
      <c r="K15" s="7" t="n"/>
      <c r="L15" s="7" t="n"/>
      <c r="M15" s="7" t="n"/>
      <c r="N15" s="7" t="n"/>
      <c r="O15" s="3" t="n"/>
      <c r="X15" s="8" t="inlineStr">
        <is>
          <t>Sun Deity Festival</t>
        </is>
      </c>
      <c r="Y15" s="11" t="inlineStr">
        <is>
          <t>Female</t>
        </is>
      </c>
      <c r="Z15" s="9" t="inlineStr">
        <is>
          <t>Male</t>
        </is>
      </c>
      <c r="AA15" s="11" t="inlineStr">
        <is>
          <t>Female</t>
        </is>
      </c>
      <c r="AB15" s="9" t="inlineStr">
        <is>
          <t>Male</t>
        </is>
      </c>
      <c r="AC15" s="11" t="inlineStr">
        <is>
          <t>Female</t>
        </is>
      </c>
    </row>
    <row r="16">
      <c r="A16" s="7" t="n">
        <v>123</v>
      </c>
      <c r="B16" s="8" t="inlineStr">
        <is>
          <t>Romeo &amp; Juliet</t>
        </is>
      </c>
      <c r="C16" s="8" t="inlineStr">
        <is>
          <t>AD 1595</t>
        </is>
      </c>
      <c r="D16" s="9" t="n">
        <v>59103</v>
      </c>
      <c r="E16" s="10" t="n">
        <v>63465</v>
      </c>
      <c r="F16" s="10" t="n">
        <v>34179</v>
      </c>
      <c r="G16" s="9" t="n">
        <v>53319</v>
      </c>
      <c r="H16" s="12" t="n">
        <v>43065</v>
      </c>
      <c r="I16" s="7" t="inlineStr">
        <is>
          <t>2nd</t>
        </is>
      </c>
      <c r="J16" s="7" t="inlineStr">
        <is>
          <t>5th</t>
        </is>
      </c>
      <c r="K16" s="7" t="inlineStr">
        <is>
          <t>30 [N/A]</t>
        </is>
      </c>
      <c r="L16" s="7" t="inlineStr">
        <is>
          <t>19 [15]</t>
        </is>
      </c>
      <c r="M16" s="7" t="inlineStr">
        <is>
          <t>[25]</t>
        </is>
      </c>
      <c r="N16" s="7" t="inlineStr">
        <is>
          <t>N/A</t>
        </is>
      </c>
      <c r="O16" s="3" t="inlineStr">
        <is>
          <t>SYT Clear vs. [Predicted]</t>
        </is>
      </c>
      <c r="X16" s="8" t="inlineStr">
        <is>
          <t>Romeo &amp; Juliet</t>
        </is>
      </c>
      <c r="Y16" s="9" t="inlineStr">
        <is>
          <t>Male</t>
        </is>
      </c>
      <c r="Z16" s="9" t="inlineStr">
        <is>
          <t>Male</t>
        </is>
      </c>
      <c r="AA16" s="9" t="inlineStr">
        <is>
          <t>Male</t>
        </is>
      </c>
      <c r="AB16" s="9" t="inlineStr">
        <is>
          <t>Male</t>
        </is>
      </c>
      <c r="AC16" s="11" t="inlineStr">
        <is>
          <t>Female</t>
        </is>
      </c>
    </row>
    <row r="17">
      <c r="A17" s="7" t="n">
        <v>129</v>
      </c>
      <c r="B17" s="8" t="inlineStr">
        <is>
          <t>Socialite Ball</t>
        </is>
      </c>
      <c r="C17" s="8" t="inlineStr">
        <is>
          <t>AD 1992</t>
        </is>
      </c>
      <c r="D17" s="12" t="n">
        <v>39948</v>
      </c>
      <c r="E17" s="11" t="n">
        <v>67278</v>
      </c>
      <c r="F17" s="12" t="n">
        <v>48528</v>
      </c>
      <c r="G17" s="11" t="n">
        <v>75702</v>
      </c>
      <c r="H17" s="12" t="n">
        <v>61143</v>
      </c>
      <c r="I17" s="7" t="inlineStr">
        <is>
          <t>N/A</t>
        </is>
      </c>
      <c r="J17" s="7" t="inlineStr">
        <is>
          <t>1st</t>
        </is>
      </c>
      <c r="K17" s="7" t="n">
        <v>26</v>
      </c>
      <c r="L17" s="7" t="n">
        <v>24</v>
      </c>
      <c r="M17" s="7" t="n">
        <v>37</v>
      </c>
      <c r="N17" s="7" t="inlineStr">
        <is>
          <t>N/A</t>
        </is>
      </c>
      <c r="O17" s="3" t="inlineStr">
        <is>
          <t>Self Clear</t>
        </is>
      </c>
      <c r="X17" s="8" t="inlineStr">
        <is>
          <t>Socialite Ball</t>
        </is>
      </c>
      <c r="Y17" s="11" t="inlineStr">
        <is>
          <t>Female</t>
        </is>
      </c>
      <c r="Z17" s="11" t="inlineStr">
        <is>
          <t>Female</t>
        </is>
      </c>
      <c r="AA17" s="11" t="inlineStr">
        <is>
          <t>Female</t>
        </is>
      </c>
      <c r="AB17" s="11" t="inlineStr">
        <is>
          <t>Female</t>
        </is>
      </c>
      <c r="AC17" s="11" t="inlineStr">
        <is>
          <t>Female</t>
        </is>
      </c>
    </row>
    <row r="18">
      <c r="A18" s="7" t="n">
        <v>137</v>
      </c>
      <c r="B18" s="8" t="inlineStr">
        <is>
          <t>Seven Devils</t>
        </is>
      </c>
      <c r="C18" s="8" t="inlineStr">
        <is>
          <t>BC 1053</t>
        </is>
      </c>
      <c r="D18" s="9" t="n">
        <v>70398</v>
      </c>
      <c r="E18" s="10" t="n">
        <v>78066</v>
      </c>
      <c r="F18" s="10" t="n">
        <v>40554</v>
      </c>
      <c r="G18" s="9" t="n">
        <v>63264</v>
      </c>
      <c r="H18" s="10" t="n">
        <v>51096</v>
      </c>
      <c r="I18" s="7" t="inlineStr">
        <is>
          <t>2nd</t>
        </is>
      </c>
      <c r="J18" s="7" t="inlineStr">
        <is>
          <t>N/A</t>
        </is>
      </c>
      <c r="K18" s="7" t="inlineStr">
        <is>
          <t>[N/A]</t>
        </is>
      </c>
      <c r="L18" s="7" t="inlineStr">
        <is>
          <t>[15]</t>
        </is>
      </c>
      <c r="M18" s="7" t="inlineStr">
        <is>
          <t>[30]</t>
        </is>
      </c>
      <c r="N18" s="7" t="inlineStr">
        <is>
          <t>N/A</t>
        </is>
      </c>
      <c r="O18" s="3" t="inlineStr">
        <is>
          <t>[Predicted]</t>
        </is>
      </c>
      <c r="X18" s="8" t="inlineStr">
        <is>
          <t>Seven Devils</t>
        </is>
      </c>
      <c r="Y18" s="9" t="inlineStr">
        <is>
          <t>Male</t>
        </is>
      </c>
      <c r="Z18" s="9" t="inlineStr">
        <is>
          <t>Male</t>
        </is>
      </c>
      <c r="AA18" s="9" t="inlineStr">
        <is>
          <t>Male</t>
        </is>
      </c>
      <c r="AB18" s="9" t="inlineStr">
        <is>
          <t>Male</t>
        </is>
      </c>
      <c r="AC18" s="9" t="inlineStr">
        <is>
          <t>Male</t>
        </is>
      </c>
    </row>
    <row r="19">
      <c r="A19" s="7" t="n">
        <v>144</v>
      </c>
      <c r="B19" s="8" t="inlineStr">
        <is>
          <t>Dance World Cup</t>
        </is>
      </c>
      <c r="C19" s="8" t="inlineStr">
        <is>
          <t>AD 2000</t>
        </is>
      </c>
      <c r="D19" s="9" t="n">
        <v>76482</v>
      </c>
      <c r="E19" s="10" t="n">
        <v>87630</v>
      </c>
      <c r="F19" s="10" t="n">
        <v>44073</v>
      </c>
      <c r="G19" s="9" t="n">
        <v>68751</v>
      </c>
      <c r="H19" s="10" t="n">
        <v>55530</v>
      </c>
      <c r="I19" s="7" t="inlineStr">
        <is>
          <t>2nd</t>
        </is>
      </c>
      <c r="J19" s="7" t="inlineStr">
        <is>
          <t>N/A</t>
        </is>
      </c>
      <c r="K19" s="7" t="inlineStr">
        <is>
          <t>N/A</t>
        </is>
      </c>
      <c r="L19" s="7" t="n">
        <v>24</v>
      </c>
      <c r="M19" s="7" t="n">
        <v>37</v>
      </c>
      <c r="N19" s="7" t="inlineStr">
        <is>
          <t>N/A</t>
        </is>
      </c>
      <c r="O19" s="3" t="inlineStr">
        <is>
          <t>Self Clear</t>
        </is>
      </c>
      <c r="X19" s="8" t="inlineStr">
        <is>
          <t>Dance World Cup</t>
        </is>
      </c>
      <c r="Y19" s="9" t="inlineStr">
        <is>
          <t>Male</t>
        </is>
      </c>
      <c r="Z19" s="9" t="inlineStr">
        <is>
          <t>Male</t>
        </is>
      </c>
      <c r="AA19" s="9" t="inlineStr">
        <is>
          <t>Male</t>
        </is>
      </c>
      <c r="AB19" s="9" t="inlineStr">
        <is>
          <t>Male</t>
        </is>
      </c>
      <c r="AC19" s="9" t="inlineStr">
        <is>
          <t>Male</t>
        </is>
      </c>
    </row>
    <row r="20">
      <c r="A20" s="7" t="n">
        <v>156</v>
      </c>
      <c r="B20" s="8" t="inlineStr">
        <is>
          <t>Carnival of Venice</t>
        </is>
      </c>
      <c r="C20" s="8" t="inlineStr">
        <is>
          <t>AD 1162</t>
        </is>
      </c>
      <c r="D20" s="12" t="n">
        <v>52812</v>
      </c>
      <c r="E20" s="10" t="n">
        <v>97896</v>
      </c>
      <c r="F20" s="10" t="n">
        <v>47718</v>
      </c>
      <c r="G20" s="11" t="n">
        <v>76347</v>
      </c>
      <c r="H20" s="11" t="n">
        <v>62031</v>
      </c>
      <c r="I20" s="7" t="inlineStr">
        <is>
          <t>2nd</t>
        </is>
      </c>
      <c r="J20" s="7" t="inlineStr">
        <is>
          <t>N/A</t>
        </is>
      </c>
      <c r="K20" s="7" t="inlineStr">
        <is>
          <t>N/A</t>
        </is>
      </c>
      <c r="L20" s="7" t="n">
        <v>24</v>
      </c>
      <c r="M20" s="7" t="n">
        <v>37</v>
      </c>
      <c r="N20" s="7" t="inlineStr">
        <is>
          <t>N/A</t>
        </is>
      </c>
      <c r="O20" s="3" t="inlineStr">
        <is>
          <t>Self Clear</t>
        </is>
      </c>
      <c r="X20" s="8" t="inlineStr">
        <is>
          <t>Carnival of Venice</t>
        </is>
      </c>
      <c r="Y20" s="11" t="inlineStr">
        <is>
          <t>Female</t>
        </is>
      </c>
      <c r="Z20" s="9" t="inlineStr">
        <is>
          <t>Male</t>
        </is>
      </c>
      <c r="AA20" s="9" t="inlineStr">
        <is>
          <t>Male</t>
        </is>
      </c>
      <c r="AB20" s="11" t="inlineStr">
        <is>
          <t>Female</t>
        </is>
      </c>
      <c r="AC20" s="11" t="inlineStr">
        <is>
          <t>Female</t>
        </is>
      </c>
    </row>
    <row r="21">
      <c r="A21" s="7" t="n">
        <v>160</v>
      </c>
      <c r="B21" s="8" t="inlineStr">
        <is>
          <t>Red Mill's Ball</t>
        </is>
      </c>
      <c r="C21" s="8" t="inlineStr">
        <is>
          <t>AD 1876</t>
        </is>
      </c>
      <c r="D21" s="12" t="n">
        <v>58323</v>
      </c>
      <c r="E21" s="11" t="n">
        <v>111345</v>
      </c>
      <c r="F21" s="10" t="n">
        <v>52617</v>
      </c>
      <c r="G21" s="10" t="n">
        <v>82080</v>
      </c>
      <c r="H21" s="9" t="n">
        <v>66200</v>
      </c>
      <c r="I21" s="7" t="inlineStr">
        <is>
          <t>4th</t>
        </is>
      </c>
      <c r="J21" s="7" t="inlineStr">
        <is>
          <t>N/A</t>
        </is>
      </c>
      <c r="K21" s="7" t="inlineStr">
        <is>
          <t>N/A</t>
        </is>
      </c>
      <c r="L21" s="7" t="n">
        <v>24</v>
      </c>
      <c r="M21" s="7" t="n">
        <v>40</v>
      </c>
      <c r="N21" s="7" t="inlineStr">
        <is>
          <t>N/A</t>
        </is>
      </c>
      <c r="O21" s="3" t="inlineStr">
        <is>
          <t>Self Clear</t>
        </is>
      </c>
      <c r="X21" s="8" t="inlineStr">
        <is>
          <t>Red Mill's Ball</t>
        </is>
      </c>
      <c r="Y21" s="11" t="inlineStr">
        <is>
          <t>Female</t>
        </is>
      </c>
      <c r="Z21" s="11" t="inlineStr">
        <is>
          <t>Female</t>
        </is>
      </c>
      <c r="AA21" s="9" t="inlineStr">
        <is>
          <t>Male</t>
        </is>
      </c>
      <c r="AB21" s="9" t="inlineStr">
        <is>
          <t>Male</t>
        </is>
      </c>
      <c r="AC21" s="9" t="inlineStr">
        <is>
          <t>Male</t>
        </is>
      </c>
    </row>
    <row r="22">
      <c r="A22" s="7" t="n">
        <v>170</v>
      </c>
      <c r="B22" s="8" t="inlineStr">
        <is>
          <t>Blackpool Dance Festival</t>
        </is>
      </c>
      <c r="C22" s="8" t="inlineStr">
        <is>
          <t>AD 1920</t>
        </is>
      </c>
      <c r="D22" s="9" t="n">
        <v>100350</v>
      </c>
      <c r="E22" s="10" t="n">
        <v>125835</v>
      </c>
      <c r="F22" s="10" t="n">
        <v>57708</v>
      </c>
      <c r="G22" s="9" t="n">
        <v>90024</v>
      </c>
      <c r="H22" s="12" t="n">
        <v>72711</v>
      </c>
      <c r="I22" s="7" t="inlineStr">
        <is>
          <t>2nd</t>
        </is>
      </c>
      <c r="J22" s="7" t="inlineStr">
        <is>
          <t>N/A</t>
        </is>
      </c>
      <c r="K22" s="7" t="inlineStr">
        <is>
          <t>N/A</t>
        </is>
      </c>
      <c r="L22" s="7" t="n">
        <v>24</v>
      </c>
      <c r="M22" s="7" t="n">
        <v>44</v>
      </c>
      <c r="N22" s="7" t="inlineStr">
        <is>
          <t>N/A</t>
        </is>
      </c>
      <c r="O22" s="3" t="inlineStr">
        <is>
          <t>Self Clear</t>
        </is>
      </c>
      <c r="X22" s="8" t="inlineStr">
        <is>
          <t>Blackpool Dance Festival</t>
        </is>
      </c>
      <c r="Y22" s="9" t="inlineStr">
        <is>
          <t>Male</t>
        </is>
      </c>
      <c r="Z22" s="9" t="inlineStr">
        <is>
          <t>Male</t>
        </is>
      </c>
      <c r="AA22" s="9" t="inlineStr">
        <is>
          <t>Male</t>
        </is>
      </c>
      <c r="AB22" s="9" t="inlineStr">
        <is>
          <t>Male</t>
        </is>
      </c>
      <c r="AC22" s="11" t="inlineStr">
        <is>
          <t>Female</t>
        </is>
      </c>
    </row>
    <row r="23">
      <c r="A23" s="7" t="n">
        <v>182</v>
      </c>
      <c r="B23" s="8" t="inlineStr">
        <is>
          <t>General Xiang's Swordplay</t>
        </is>
      </c>
      <c r="C23" s="8" t="inlineStr">
        <is>
          <t>BC 206</t>
        </is>
      </c>
      <c r="D23" s="9" t="n">
        <v>104562</v>
      </c>
      <c r="E23" s="10" t="n">
        <v>131034</v>
      </c>
      <c r="F23" s="10" t="n">
        <v>60021</v>
      </c>
      <c r="G23" s="9" t="n">
        <v>93630</v>
      </c>
      <c r="H23" s="10" t="n">
        <v>75624</v>
      </c>
      <c r="I23" s="7" t="inlineStr">
        <is>
          <t>2nd</t>
        </is>
      </c>
      <c r="J23" s="7" t="inlineStr">
        <is>
          <t>N/A</t>
        </is>
      </c>
      <c r="K23" s="7" t="inlineStr">
        <is>
          <t>N/A</t>
        </is>
      </c>
      <c r="L23" s="7" t="n">
        <v>24</v>
      </c>
      <c r="M23" s="7" t="n">
        <v>46</v>
      </c>
      <c r="N23" s="7" t="inlineStr">
        <is>
          <t>N/A</t>
        </is>
      </c>
      <c r="O23" s="3" t="inlineStr">
        <is>
          <t>Self Clear</t>
        </is>
      </c>
      <c r="X23" s="8" t="inlineStr">
        <is>
          <t>General Xiang's Swordplay</t>
        </is>
      </c>
      <c r="Y23" s="9" t="inlineStr">
        <is>
          <t>Male</t>
        </is>
      </c>
      <c r="Z23" s="9" t="inlineStr">
        <is>
          <t>Male</t>
        </is>
      </c>
      <c r="AA23" s="9" t="inlineStr">
        <is>
          <t>Male</t>
        </is>
      </c>
      <c r="AB23" s="9" t="inlineStr">
        <is>
          <t>Male</t>
        </is>
      </c>
      <c r="AC23" s="9" t="inlineStr">
        <is>
          <t>Male</t>
        </is>
      </c>
    </row>
    <row r="24">
      <c r="A24" s="7" t="n">
        <v>196</v>
      </c>
      <c r="B24" s="8" t="inlineStr">
        <is>
          <t>The Dance Plague</t>
        </is>
      </c>
      <c r="C24" s="8" t="inlineStr">
        <is>
          <t>AD 1518</t>
        </is>
      </c>
      <c r="D24" s="12" t="n">
        <v>72798</v>
      </c>
      <c r="E24" s="10" t="n">
        <v>146904</v>
      </c>
      <c r="F24" s="10" t="n">
        <v>65367</v>
      </c>
      <c r="G24" s="9" t="n">
        <v>101970</v>
      </c>
      <c r="H24" s="9" t="n">
        <v>82362</v>
      </c>
      <c r="I24" s="7" t="inlineStr">
        <is>
          <t>2nd</t>
        </is>
      </c>
      <c r="J24" s="7" t="inlineStr">
        <is>
          <t>N/A</t>
        </is>
      </c>
      <c r="K24" s="7" t="inlineStr">
        <is>
          <t>N/A</t>
        </is>
      </c>
      <c r="L24" s="7" t="n">
        <v>24</v>
      </c>
      <c r="M24" s="7" t="n">
        <v>49</v>
      </c>
      <c r="N24" s="7" t="inlineStr">
        <is>
          <t>N/A</t>
        </is>
      </c>
      <c r="O24" s="3" t="inlineStr">
        <is>
          <t>Self Clear</t>
        </is>
      </c>
      <c r="X24" s="8" t="inlineStr">
        <is>
          <t>The Dance Plague</t>
        </is>
      </c>
      <c r="Y24" s="11" t="inlineStr">
        <is>
          <t>Female</t>
        </is>
      </c>
      <c r="Z24" s="9" t="inlineStr">
        <is>
          <t>Male</t>
        </is>
      </c>
      <c r="AA24" s="9" t="inlineStr">
        <is>
          <t>Male</t>
        </is>
      </c>
      <c r="AB24" s="9" t="inlineStr">
        <is>
          <t>Male</t>
        </is>
      </c>
      <c r="AC24" s="9" t="inlineStr">
        <is>
          <t>Male</t>
        </is>
      </c>
    </row>
    <row r="25">
      <c r="A25" s="7" t="n">
        <v>206</v>
      </c>
      <c r="B25" s="8" t="inlineStr">
        <is>
          <t>Prix de Lausanne</t>
        </is>
      </c>
      <c r="C25" s="8" t="inlineStr">
        <is>
          <t>AD 1973</t>
        </is>
      </c>
      <c r="D25" s="10">
        <f>40509*3</f>
        <v/>
      </c>
      <c r="E25" s="11">
        <f>53663*3</f>
        <v/>
      </c>
      <c r="F25" s="10">
        <f>23230*3</f>
        <v/>
      </c>
      <c r="G25" s="9">
        <f>36238*3</f>
        <v/>
      </c>
      <c r="H25" s="10">
        <f>29269*3</f>
        <v/>
      </c>
      <c r="I25" s="7" t="inlineStr">
        <is>
          <t>1st</t>
        </is>
      </c>
      <c r="J25" s="7" t="inlineStr">
        <is>
          <t>N/A</t>
        </is>
      </c>
      <c r="K25" s="7" t="inlineStr">
        <is>
          <t>N/A</t>
        </is>
      </c>
      <c r="L25" s="7" t="n">
        <v>27</v>
      </c>
      <c r="M25" s="7" t="n">
        <v>52</v>
      </c>
      <c r="N25" s="7" t="inlineStr">
        <is>
          <t>N/A</t>
        </is>
      </c>
      <c r="O25" s="3" t="inlineStr">
        <is>
          <t>Self Clear</t>
        </is>
      </c>
      <c r="X25" s="8" t="inlineStr">
        <is>
          <t>Prix de Lausanne</t>
        </is>
      </c>
      <c r="Y25" s="9" t="inlineStr">
        <is>
          <t>Male</t>
        </is>
      </c>
      <c r="Z25" s="11" t="inlineStr">
        <is>
          <t>Female</t>
        </is>
      </c>
      <c r="AA25" s="9" t="inlineStr">
        <is>
          <t>Male</t>
        </is>
      </c>
      <c r="AB25" s="9" t="inlineStr">
        <is>
          <t>Male</t>
        </is>
      </c>
      <c r="AC25" s="9" t="inlineStr">
        <is>
          <t>Male</t>
        </is>
      </c>
    </row>
    <row r="26">
      <c r="A26" s="7" t="n">
        <v>224</v>
      </c>
      <c r="B26" s="8" t="inlineStr">
        <is>
          <t>Congress of Vienna</t>
        </is>
      </c>
      <c r="C26" s="8" t="inlineStr">
        <is>
          <t>AD 1814</t>
        </is>
      </c>
      <c r="D26" s="10" t="n">
        <v>70644</v>
      </c>
      <c r="E26" s="10" t="n">
        <v>183711</v>
      </c>
      <c r="F26" s="10" t="n">
        <v>177660</v>
      </c>
      <c r="G26" s="9" t="n">
        <v>186543</v>
      </c>
      <c r="H26" s="9" t="n">
        <v>191871</v>
      </c>
      <c r="I26" s="7" t="inlineStr">
        <is>
          <t>2nd</t>
        </is>
      </c>
      <c r="J26" s="7" t="inlineStr">
        <is>
          <t>1st</t>
        </is>
      </c>
      <c r="K26" s="7" t="inlineStr">
        <is>
          <t>[56]*</t>
        </is>
      </c>
      <c r="L26" s="7" t="inlineStr">
        <is>
          <t>[54]</t>
        </is>
      </c>
      <c r="M26" s="7" t="inlineStr">
        <is>
          <t>[55]*</t>
        </is>
      </c>
      <c r="N26" s="7" t="inlineStr">
        <is>
          <t>[41]*</t>
        </is>
      </c>
      <c r="O26" s="3" t="inlineStr">
        <is>
          <t>[Predicted]</t>
        </is>
      </c>
      <c r="P26" s="3" t="inlineStr">
        <is>
          <t>Excalibra/Athena required, pick one 3rd member</t>
        </is>
      </c>
      <c r="X26" s="8" t="inlineStr">
        <is>
          <t>Congress of Vienna</t>
        </is>
      </c>
      <c r="Y26" s="9" t="inlineStr">
        <is>
          <t>Male</t>
        </is>
      </c>
      <c r="Z26" s="9" t="inlineStr">
        <is>
          <t>Male</t>
        </is>
      </c>
      <c r="AA26" s="9" t="inlineStr">
        <is>
          <t>Male</t>
        </is>
      </c>
      <c r="AB26" s="9" t="inlineStr">
        <is>
          <t>Male</t>
        </is>
      </c>
      <c r="AC26" s="9" t="inlineStr">
        <is>
          <t>Male</t>
        </is>
      </c>
    </row>
    <row r="27">
      <c r="A27" s="7" t="n">
        <v>235</v>
      </c>
      <c r="B27" s="8" t="inlineStr">
        <is>
          <t>Six Dynasty Ritual Dance</t>
        </is>
      </c>
      <c r="C27" s="8" t="inlineStr">
        <is>
          <t>BC 2717</t>
        </is>
      </c>
      <c r="D27" s="9">
        <f>64388*3</f>
        <v/>
      </c>
      <c r="E27" s="9">
        <f>66319*3</f>
        <v/>
      </c>
      <c r="F27" s="10">
        <f>68308*3</f>
        <v/>
      </c>
      <c r="G27" s="10">
        <f>26683*3</f>
        <v/>
      </c>
      <c r="H27" s="10">
        <f>40024*3</f>
        <v/>
      </c>
      <c r="I27" s="7" t="inlineStr">
        <is>
          <t>3rd</t>
        </is>
      </c>
      <c r="J27" s="7" t="inlineStr">
        <is>
          <t>N/A</t>
        </is>
      </c>
      <c r="K27" s="7" t="inlineStr">
        <is>
          <t>N/A</t>
        </is>
      </c>
      <c r="L27" s="7" t="n">
        <v>37</v>
      </c>
      <c r="M27" s="7" t="n">
        <v>60</v>
      </c>
      <c r="N27" s="7" t="inlineStr">
        <is>
          <t>N/A</t>
        </is>
      </c>
      <c r="O27" s="3" t="inlineStr">
        <is>
          <t>Self Clear</t>
        </is>
      </c>
      <c r="X27" s="8" t="inlineStr">
        <is>
          <t>Six Dynasty Ritual Dance</t>
        </is>
      </c>
      <c r="Y27" s="9" t="inlineStr">
        <is>
          <t>Male</t>
        </is>
      </c>
      <c r="Z27" s="9" t="inlineStr">
        <is>
          <t>Male</t>
        </is>
      </c>
      <c r="AA27" s="9" t="inlineStr">
        <is>
          <t>Male</t>
        </is>
      </c>
      <c r="AB27" s="9" t="inlineStr">
        <is>
          <t>Male</t>
        </is>
      </c>
      <c r="AC27" s="9" t="inlineStr">
        <is>
          <t>Male</t>
        </is>
      </c>
    </row>
    <row r="28">
      <c r="A28" s="1" t="n"/>
      <c r="M28" s="3" t="n"/>
      <c r="N28" s="3" t="n"/>
    </row>
    <row r="29">
      <c r="A29" s="1" t="n"/>
      <c r="M29" s="3" t="n"/>
      <c r="N29" s="3" t="n"/>
    </row>
    <row r="30">
      <c r="A30" s="1" t="n"/>
      <c r="M30" s="3" t="n"/>
      <c r="N30" s="3" t="n"/>
    </row>
    <row r="31">
      <c r="A31" s="1" t="n"/>
      <c r="M31" s="3" t="n"/>
      <c r="N31" s="3" t="n"/>
    </row>
    <row r="32">
      <c r="A32" s="1" t="n"/>
      <c r="M32" s="3" t="n"/>
      <c r="N32" s="3" t="n"/>
    </row>
    <row r="33">
      <c r="A33" s="13" t="inlineStr">
        <is>
          <t>Riding (Murika)</t>
        </is>
      </c>
      <c r="B33" s="14" t="n"/>
      <c r="C33" s="14" t="n"/>
      <c r="D33" s="14" t="n"/>
      <c r="E33" s="14" t="n"/>
      <c r="F33" s="14" t="n"/>
      <c r="G33" s="14" t="n"/>
      <c r="H33" s="14" t="n"/>
      <c r="I33" s="14" t="n"/>
      <c r="J33" s="15" t="n"/>
      <c r="K33" s="3" t="n"/>
      <c r="L33" s="3" t="n"/>
    </row>
    <row r="34">
      <c r="A34" s="16" t="inlineStr">
        <is>
          <t>No.</t>
        </is>
      </c>
      <c r="B34" s="16" t="inlineStr">
        <is>
          <t>Name</t>
        </is>
      </c>
      <c r="C34" s="16" t="inlineStr">
        <is>
          <t>Setting</t>
        </is>
      </c>
      <c r="D34" s="16" t="inlineStr">
        <is>
          <t>Rec. Riding</t>
        </is>
      </c>
      <c r="E34" s="16" t="inlineStr">
        <is>
          <t>Clear Riding</t>
        </is>
      </c>
      <c r="F34" s="16" t="inlineStr">
        <is>
          <t>Venue</t>
        </is>
      </c>
      <c r="G34" s="16" t="inlineStr">
        <is>
          <t>Guan Yu</t>
        </is>
      </c>
      <c r="H34" s="16" t="inlineStr">
        <is>
          <t>Tridentman</t>
        </is>
      </c>
      <c r="I34" s="16" t="inlineStr">
        <is>
          <t>Kitty</t>
        </is>
      </c>
      <c r="J34" s="16" t="inlineStr">
        <is>
          <t>Commisioner</t>
        </is>
      </c>
      <c r="K34" s="3" t="n"/>
      <c r="L34" s="3" t="n"/>
    </row>
    <row r="35">
      <c r="A35" s="17" t="n">
        <v>2</v>
      </c>
      <c r="B35" s="18" t="inlineStr">
        <is>
          <t>Nurburgring</t>
        </is>
      </c>
      <c r="C35" s="17" t="inlineStr">
        <is>
          <t>AD 1950</t>
        </is>
      </c>
      <c r="D35" s="17" t="n">
        <v>1170</v>
      </c>
      <c r="E35" s="17" t="n"/>
      <c r="F35" s="17" t="inlineStr">
        <is>
          <t>Highway</t>
        </is>
      </c>
      <c r="G35" s="17" t="n"/>
      <c r="H35" s="17" t="n"/>
      <c r="I35" s="17" t="n"/>
      <c r="J35" s="8" t="n"/>
      <c r="K35" s="3" t="n"/>
      <c r="L35" s="3" t="n"/>
    </row>
    <row r="36">
      <c r="A36" s="17" t="n">
        <v>14</v>
      </c>
      <c r="B36" s="18" t="inlineStr">
        <is>
          <t>Green Magic Academy</t>
        </is>
      </c>
      <c r="C36" s="17" t="inlineStr">
        <is>
          <t>AD 1926</t>
        </is>
      </c>
      <c r="D36" s="17" t="n">
        <v>2427</v>
      </c>
      <c r="E36" s="17" t="n"/>
      <c r="F36" s="17" t="inlineStr">
        <is>
          <t>Highway</t>
        </is>
      </c>
      <c r="G36" s="17" t="n"/>
      <c r="H36" s="17" t="n"/>
      <c r="I36" s="17" t="n"/>
      <c r="J36" s="8" t="n"/>
      <c r="K36" s="3" t="n"/>
      <c r="L36" s="3" t="n"/>
    </row>
    <row r="37">
      <c r="A37" s="17" t="n">
        <v>36</v>
      </c>
      <c r="B37" s="18" t="inlineStr">
        <is>
          <t>Atlantis</t>
        </is>
      </c>
      <c r="C37" s="17" t="inlineStr">
        <is>
          <t>BC 553</t>
        </is>
      </c>
      <c r="D37" s="17" t="n">
        <v>8377</v>
      </c>
      <c r="E37" s="17" t="n"/>
      <c r="F37" s="17" t="inlineStr">
        <is>
          <t>Waters</t>
        </is>
      </c>
      <c r="G37" s="17" t="n"/>
      <c r="H37" s="17" t="n"/>
      <c r="I37" s="17" t="n"/>
      <c r="J37" s="8" t="n"/>
      <c r="K37" s="3" t="n"/>
      <c r="L37" s="3" t="n"/>
    </row>
    <row r="38">
      <c r="A38" s="17" t="n">
        <v>46</v>
      </c>
      <c r="B38" s="18" t="inlineStr">
        <is>
          <t>Toraemon Race</t>
        </is>
      </c>
      <c r="C38" s="17" t="inlineStr">
        <is>
          <t>AD 1969</t>
        </is>
      </c>
      <c r="D38" s="17" t="n">
        <v>10842</v>
      </c>
      <c r="E38" s="17" t="n">
        <v>10000</v>
      </c>
      <c r="F38" s="17" t="inlineStr">
        <is>
          <t>Highway</t>
        </is>
      </c>
      <c r="G38" s="17" t="n"/>
      <c r="H38" s="17" t="n"/>
      <c r="I38" s="17" t="n"/>
      <c r="J38" s="8" t="n"/>
      <c r="K38" s="3" t="n"/>
      <c r="L38" s="3" t="n"/>
    </row>
    <row r="39">
      <c r="A39" s="17" t="n">
        <v>60</v>
      </c>
      <c r="B39" s="18" t="inlineStr">
        <is>
          <t>Kusk</t>
        </is>
      </c>
      <c r="C39" s="17" t="inlineStr">
        <is>
          <t>AD 1943</t>
        </is>
      </c>
      <c r="D39" s="17" t="n">
        <v>18598</v>
      </c>
      <c r="E39" s="17" t="n"/>
      <c r="F39" s="17" t="inlineStr">
        <is>
          <t>Highway</t>
        </is>
      </c>
      <c r="G39" s="17" t="n"/>
      <c r="H39" s="17" t="n"/>
      <c r="I39" s="17" t="n"/>
      <c r="J39" s="8" t="n"/>
      <c r="K39" s="3" t="n"/>
      <c r="L39" s="3" t="n"/>
    </row>
    <row r="40">
      <c r="A40" s="17" t="n">
        <v>72</v>
      </c>
      <c r="B40" s="18" t="inlineStr">
        <is>
          <t>Giza Pyramids</t>
        </is>
      </c>
      <c r="C40" s="17" t="inlineStr">
        <is>
          <t>BC 6899</t>
        </is>
      </c>
      <c r="D40" s="17" t="n">
        <v>21842</v>
      </c>
      <c r="E40" s="17" t="n">
        <v>17500</v>
      </c>
      <c r="F40" s="17" t="inlineStr">
        <is>
          <t>Desert</t>
        </is>
      </c>
      <c r="G40" s="17" t="n"/>
      <c r="H40" s="17" t="n"/>
      <c r="I40" s="17" t="n"/>
      <c r="J40" s="8" t="n"/>
      <c r="K40" s="3" t="n"/>
      <c r="L40" s="3" t="n"/>
    </row>
    <row r="41">
      <c r="A41" s="17" t="n">
        <v>77</v>
      </c>
      <c r="B41" s="18" t="inlineStr">
        <is>
          <t>Naadam Festival</t>
        </is>
      </c>
      <c r="C41" s="17" t="inlineStr">
        <is>
          <t>AD 1206</t>
        </is>
      </c>
      <c r="D41" s="17" t="n">
        <v>23733</v>
      </c>
      <c r="E41" s="17" t="n">
        <v>19100</v>
      </c>
      <c r="F41" s="17" t="inlineStr">
        <is>
          <t>Highway</t>
        </is>
      </c>
      <c r="G41" s="17" t="n">
        <v>20</v>
      </c>
      <c r="H41" s="17" t="n">
        <v>20</v>
      </c>
      <c r="I41" s="17" t="n"/>
      <c r="J41" s="8" t="n">
        <v>15</v>
      </c>
      <c r="K41" s="3" t="n"/>
      <c r="L41" s="3" t="n"/>
    </row>
    <row r="42">
      <c r="A42" s="17" t="n">
        <v>87</v>
      </c>
      <c r="B42" s="18" t="inlineStr">
        <is>
          <t>Marathon Plain</t>
        </is>
      </c>
      <c r="C42" s="17" t="inlineStr">
        <is>
          <t>BC 490</t>
        </is>
      </c>
      <c r="D42" s="17" t="n">
        <v>26532</v>
      </c>
      <c r="E42" s="17" t="n">
        <v>20700</v>
      </c>
      <c r="F42" s="17" t="inlineStr">
        <is>
          <t>Highway</t>
        </is>
      </c>
      <c r="G42" s="17" t="n"/>
      <c r="H42" s="17" t="n"/>
      <c r="I42" s="17" t="n"/>
      <c r="J42" s="8" t="n"/>
      <c r="K42" s="3" t="n"/>
      <c r="L42" s="3" t="n"/>
    </row>
    <row r="43">
      <c r="A43" s="17" t="n">
        <v>107</v>
      </c>
      <c r="B43" s="18" t="inlineStr">
        <is>
          <t>Waterloo Station</t>
        </is>
      </c>
      <c r="C43" s="17" t="inlineStr">
        <is>
          <t>AD 1848</t>
        </is>
      </c>
      <c r="D43" s="17" t="n">
        <v>31779</v>
      </c>
      <c r="E43" s="17" t="n">
        <v>24200</v>
      </c>
      <c r="F43" s="17" t="inlineStr">
        <is>
          <t>Train</t>
        </is>
      </c>
      <c r="G43" s="17" t="n">
        <v>25</v>
      </c>
      <c r="H43" s="17" t="n">
        <v>26</v>
      </c>
      <c r="I43" s="17" t="n">
        <v>24</v>
      </c>
      <c r="J43" s="8" t="n"/>
      <c r="K43" s="3" t="n"/>
      <c r="L43" s="3" t="inlineStr">
        <is>
          <t>tntboom clear</t>
        </is>
      </c>
    </row>
    <row r="44">
      <c r="A44" s="17" t="n">
        <v>115</v>
      </c>
      <c r="B44" s="18" t="inlineStr">
        <is>
          <t>Silk Roads</t>
        </is>
      </c>
      <c r="C44" s="17" t="inlineStr">
        <is>
          <t>BC 139</t>
        </is>
      </c>
      <c r="D44" s="17" t="n">
        <v>34236</v>
      </c>
      <c r="E44" s="17" t="n">
        <v>26600</v>
      </c>
      <c r="F44" s="17" t="inlineStr">
        <is>
          <t>Desert</t>
        </is>
      </c>
      <c r="G44" s="17" t="n">
        <v>29</v>
      </c>
      <c r="H44" s="17" t="n">
        <v>25</v>
      </c>
      <c r="I44" s="17" t="n">
        <v>27</v>
      </c>
      <c r="J44" s="8" t="n"/>
      <c r="K44" s="3" t="n"/>
      <c r="L44" s="3" t="inlineStr">
        <is>
          <t>SYT Clear</t>
        </is>
      </c>
    </row>
    <row r="45">
      <c r="A45" s="17" t="n">
        <v>130</v>
      </c>
      <c r="B45" s="18" t="inlineStr">
        <is>
          <t>Murikan Sailboat Race</t>
        </is>
      </c>
      <c r="C45" s="17" t="inlineStr">
        <is>
          <t>AD 1851</t>
        </is>
      </c>
      <c r="D45" s="17" t="n">
        <v>37085</v>
      </c>
      <c r="E45" s="17" t="n">
        <v>30500</v>
      </c>
      <c r="F45" s="17" t="inlineStr">
        <is>
          <t>Waters</t>
        </is>
      </c>
      <c r="G45" s="17" t="n">
        <v>31</v>
      </c>
      <c r="H45" s="17" t="n">
        <v>25</v>
      </c>
      <c r="I45" s="17" t="n">
        <v>27</v>
      </c>
      <c r="J45" s="8" t="n"/>
      <c r="K45" s="3" t="n"/>
      <c r="L45" s="3" t="inlineStr">
        <is>
          <t>SYT Clear</t>
        </is>
      </c>
    </row>
    <row r="46">
      <c r="A46" s="17" t="n">
        <v>149</v>
      </c>
      <c r="B46" s="18" t="inlineStr">
        <is>
          <t>Ocean Race</t>
        </is>
      </c>
      <c r="C46" s="17" t="inlineStr">
        <is>
          <t>AD 1973</t>
        </is>
      </c>
      <c r="D46" s="17" t="n">
        <v>39945</v>
      </c>
      <c r="E46" s="17" t="n">
        <v>33000</v>
      </c>
      <c r="F46" s="17" t="inlineStr">
        <is>
          <t>Waters</t>
        </is>
      </c>
      <c r="G46" s="17" t="n">
        <v>30</v>
      </c>
      <c r="H46" s="17" t="n">
        <v>34</v>
      </c>
      <c r="I46" s="17" t="n">
        <v>36</v>
      </c>
      <c r="J46" s="8" t="n"/>
      <c r="K46" s="3" t="n"/>
      <c r="L46" s="3" t="inlineStr">
        <is>
          <t>Self Clear</t>
        </is>
      </c>
    </row>
    <row r="47">
      <c r="A47" s="17" t="n">
        <v>155</v>
      </c>
      <c r="B47" s="18" t="inlineStr">
        <is>
          <t>Le Mans</t>
        </is>
      </c>
      <c r="C47" s="17" t="inlineStr">
        <is>
          <t>AD 1965</t>
        </is>
      </c>
      <c r="D47" s="17" t="n">
        <v>42795</v>
      </c>
      <c r="E47" s="17" t="n">
        <v>33000</v>
      </c>
      <c r="F47" s="17" t="inlineStr">
        <is>
          <t>Highway</t>
        </is>
      </c>
      <c r="G47" s="17" t="n">
        <v>30</v>
      </c>
      <c r="H47" s="17" t="n">
        <v>34</v>
      </c>
      <c r="I47" s="17" t="n">
        <v>36</v>
      </c>
      <c r="J47" s="8" t="n"/>
      <c r="K47" s="3" t="n"/>
      <c r="L47" s="3" t="inlineStr">
        <is>
          <t>Self Clear</t>
        </is>
      </c>
    </row>
    <row r="48">
      <c r="A48" s="17" t="n">
        <v>159</v>
      </c>
      <c r="B48" s="18" t="inlineStr">
        <is>
          <t>Dragon Gate Escort</t>
        </is>
      </c>
      <c r="C48" s="17" t="inlineStr">
        <is>
          <t>AD 1421</t>
        </is>
      </c>
      <c r="D48" s="17" t="n">
        <v>45644</v>
      </c>
      <c r="E48" s="17" t="n">
        <v>33800</v>
      </c>
      <c r="F48" s="17" t="inlineStr">
        <is>
          <t>Desert</t>
        </is>
      </c>
      <c r="G48" s="17" t="n">
        <v>35</v>
      </c>
      <c r="H48" s="17" t="n">
        <v>34</v>
      </c>
      <c r="I48" s="17" t="n">
        <v>36</v>
      </c>
      <c r="J48" s="8" t="n"/>
      <c r="K48" s="3" t="n"/>
      <c r="L48" s="3" t="inlineStr">
        <is>
          <t>Self Clear</t>
        </is>
      </c>
    </row>
    <row r="49">
      <c r="A49" s="17" t="n">
        <v>168</v>
      </c>
      <c r="B49" s="18" t="inlineStr">
        <is>
          <t>Siena Horse Race</t>
        </is>
      </c>
      <c r="C49" s="17" t="inlineStr">
        <is>
          <t>AD 1729</t>
        </is>
      </c>
      <c r="D49" s="17" t="n">
        <v>48504</v>
      </c>
      <c r="E49" s="17" t="n">
        <v>34700</v>
      </c>
      <c r="F49" s="17" t="inlineStr">
        <is>
          <t>Desert</t>
        </is>
      </c>
      <c r="G49" s="17" t="n">
        <v>36</v>
      </c>
      <c r="H49" s="17" t="n">
        <v>35</v>
      </c>
      <c r="I49" s="17" t="n">
        <v>36</v>
      </c>
      <c r="J49" s="8" t="n"/>
      <c r="K49" s="3" t="n"/>
      <c r="L49" s="3" t="inlineStr">
        <is>
          <t>Self Clear</t>
        </is>
      </c>
    </row>
    <row r="50">
      <c r="A50" s="17" t="n">
        <v>172</v>
      </c>
      <c r="B50" s="18" t="inlineStr">
        <is>
          <t>The Dakar Rally</t>
        </is>
      </c>
      <c r="C50" s="17" t="inlineStr">
        <is>
          <t>AD 1977</t>
        </is>
      </c>
      <c r="D50" s="17" t="n">
        <v>51354</v>
      </c>
      <c r="E50" s="17" t="n">
        <v>35800</v>
      </c>
      <c r="F50" s="17" t="inlineStr">
        <is>
          <t>Desert</t>
        </is>
      </c>
      <c r="G50" s="17" t="n">
        <v>36</v>
      </c>
      <c r="H50" s="17" t="n">
        <v>37</v>
      </c>
      <c r="I50" s="17" t="n">
        <v>36</v>
      </c>
      <c r="J50" s="8" t="n"/>
      <c r="K50" s="3" t="n"/>
      <c r="L50" s="3" t="inlineStr">
        <is>
          <t>Self Clear</t>
        </is>
      </c>
    </row>
    <row r="51">
      <c r="A51" s="17" t="n">
        <v>176</v>
      </c>
      <c r="B51" s="18" t="inlineStr">
        <is>
          <t>F1 World Championship</t>
        </is>
      </c>
      <c r="C51" s="17" t="inlineStr">
        <is>
          <t>BC 1986</t>
        </is>
      </c>
      <c r="D51" s="17" t="n">
        <v>54203</v>
      </c>
      <c r="E51" s="17" t="n">
        <v>36800</v>
      </c>
      <c r="F51" s="17" t="inlineStr">
        <is>
          <t>Train</t>
        </is>
      </c>
      <c r="G51" s="17" t="n">
        <v>36</v>
      </c>
      <c r="H51" s="17" t="n">
        <v>37</v>
      </c>
      <c r="I51" s="17" t="n">
        <v>37</v>
      </c>
      <c r="J51" s="8" t="n"/>
      <c r="K51" s="3" t="n"/>
      <c r="L51" s="3" t="inlineStr">
        <is>
          <t>Self Clear</t>
        </is>
      </c>
    </row>
    <row r="52">
      <c r="A52" s="17" t="n">
        <v>184</v>
      </c>
      <c r="B52" s="18" t="inlineStr">
        <is>
          <t>Tour de Gallia</t>
        </is>
      </c>
      <c r="C52" s="17" t="inlineStr">
        <is>
          <t>AD 1903</t>
        </is>
      </c>
      <c r="D52" s="17" t="n">
        <v>57063</v>
      </c>
      <c r="E52" s="17" t="n">
        <v>39700</v>
      </c>
      <c r="F52" s="17" t="inlineStr">
        <is>
          <t>Highway</t>
        </is>
      </c>
      <c r="G52" s="17" t="n">
        <v>45</v>
      </c>
      <c r="H52" s="17" t="n">
        <v>37</v>
      </c>
      <c r="I52" s="17" t="n">
        <v>38</v>
      </c>
      <c r="J52" s="8" t="n"/>
      <c r="K52" s="3" t="n"/>
      <c r="L52" s="3" t="inlineStr">
        <is>
          <t>Self Clear</t>
        </is>
      </c>
    </row>
    <row r="53">
      <c r="A53" s="17" t="n">
        <v>188</v>
      </c>
      <c r="B53" s="18" t="inlineStr">
        <is>
          <t>Witch World Championship</t>
        </is>
      </c>
      <c r="C53" s="17" t="inlineStr">
        <is>
          <t>AD 1549</t>
        </is>
      </c>
      <c r="D53" s="17" t="n">
        <v>59913</v>
      </c>
      <c r="E53" s="17" t="n">
        <v>42300</v>
      </c>
      <c r="F53" s="17" t="inlineStr">
        <is>
          <t>Highway</t>
        </is>
      </c>
      <c r="G53" s="17" t="n">
        <v>45</v>
      </c>
      <c r="H53" s="17" t="n">
        <v>44</v>
      </c>
      <c r="I53" s="17" t="n">
        <v>41</v>
      </c>
      <c r="J53" s="8" t="n"/>
      <c r="K53" s="3" t="n"/>
      <c r="L53" s="3" t="inlineStr">
        <is>
          <t>SYT Clear</t>
        </is>
      </c>
    </row>
    <row r="54">
      <c r="A54" s="17" t="n">
        <v>194</v>
      </c>
      <c r="B54" s="18" t="inlineStr">
        <is>
          <t>Roman Chariot Race</t>
        </is>
      </c>
      <c r="C54" s="17" t="inlineStr">
        <is>
          <t>AD 92</t>
        </is>
      </c>
      <c r="D54" s="17" t="n">
        <v>62762</v>
      </c>
      <c r="E54" s="17" t="n">
        <v>45500</v>
      </c>
      <c r="F54" s="17" t="inlineStr">
        <is>
          <t>Train</t>
        </is>
      </c>
      <c r="G54" s="17" t="n">
        <v>49</v>
      </c>
      <c r="H54" s="17" t="n">
        <v>47</v>
      </c>
      <c r="I54" s="17" t="n">
        <v>49</v>
      </c>
      <c r="J54" s="8" t="n"/>
      <c r="K54" s="3" t="n"/>
      <c r="L54" s="3" t="inlineStr">
        <is>
          <t>SYT Clear</t>
        </is>
      </c>
    </row>
    <row r="55">
      <c r="A55" s="17" t="n">
        <v>204</v>
      </c>
      <c r="B55" s="18" t="inlineStr">
        <is>
          <t>Speed and Fury</t>
        </is>
      </c>
      <c r="C55" s="17" t="inlineStr">
        <is>
          <t>AD 2001</t>
        </is>
      </c>
      <c r="D55" s="17" t="n">
        <v>65622</v>
      </c>
      <c r="E55" s="17" t="n">
        <v>52800</v>
      </c>
      <c r="F55" s="17" t="inlineStr">
        <is>
          <t>Train</t>
        </is>
      </c>
      <c r="G55" s="17" t="n">
        <v>52</v>
      </c>
      <c r="H55" s="17" t="n">
        <v>54</v>
      </c>
      <c r="I55" s="17" t="n">
        <v>54</v>
      </c>
      <c r="J55" s="8" t="n"/>
      <c r="K55" s="3" t="n"/>
      <c r="L55" s="3" t="inlineStr">
        <is>
          <t>SYT Clear</t>
        </is>
      </c>
    </row>
    <row r="56">
      <c r="A56" s="17" t="n">
        <v>218</v>
      </c>
      <c r="B56" s="18" t="inlineStr">
        <is>
          <t>Relax Sailboat Race</t>
        </is>
      </c>
      <c r="C56" s="17" t="inlineStr">
        <is>
          <t>AD 1968</t>
        </is>
      </c>
      <c r="D56" s="17" t="n">
        <v>68472</v>
      </c>
      <c r="E56" s="17" t="n"/>
      <c r="F56" s="17" t="inlineStr">
        <is>
          <t>Waters</t>
        </is>
      </c>
      <c r="G56" s="17" t="n">
        <v>60</v>
      </c>
      <c r="H56" s="17" t="n">
        <v>60</v>
      </c>
      <c r="I56" s="17" t="n">
        <v>60</v>
      </c>
      <c r="J56" s="8" t="n"/>
      <c r="K56" s="3" t="n"/>
      <c r="L56" s="3" t="inlineStr">
        <is>
          <t>taeyeon clear</t>
        </is>
      </c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</row>
    <row r="61">
      <c r="A61" s="13" t="inlineStr">
        <is>
          <t>Sailing (Britland)</t>
        </is>
      </c>
      <c r="B61" s="14" t="n"/>
      <c r="C61" s="14" t="n"/>
      <c r="D61" s="14" t="n"/>
      <c r="E61" s="14" t="n"/>
      <c r="F61" s="14" t="n"/>
      <c r="G61" s="14" t="n"/>
      <c r="H61" s="14" t="n"/>
      <c r="I61" s="14" t="n"/>
      <c r="J61" s="14" t="n"/>
      <c r="K61" s="14" t="n"/>
      <c r="L61" s="19" t="n"/>
      <c r="M61" s="3" t="n"/>
      <c r="N61" s="3" t="n"/>
    </row>
    <row r="62">
      <c r="A62" s="16" t="inlineStr">
        <is>
          <t>No.</t>
        </is>
      </c>
      <c r="B62" s="16" t="inlineStr">
        <is>
          <t>Name</t>
        </is>
      </c>
      <c r="C62" s="16" t="inlineStr">
        <is>
          <t>Setting</t>
        </is>
      </c>
      <c r="D62" s="16" t="inlineStr">
        <is>
          <t>Rec. Sailing</t>
        </is>
      </c>
      <c r="E62" s="16" t="inlineStr">
        <is>
          <t>Clear Sailing</t>
        </is>
      </c>
      <c r="F62" s="16" t="inlineStr">
        <is>
          <t>Boss</t>
        </is>
      </c>
      <c r="G62" s="16" t="inlineStr">
        <is>
          <t>Boss Firepower</t>
        </is>
      </c>
      <c r="H62" s="16" t="inlineStr">
        <is>
          <t>Trident Man</t>
        </is>
      </c>
      <c r="I62" s="16" t="inlineStr">
        <is>
          <t>St. Trinidad</t>
        </is>
      </c>
      <c r="J62" s="16" t="inlineStr">
        <is>
          <t>Soleil Royal</t>
        </is>
      </c>
      <c r="K62" s="16" t="inlineStr">
        <is>
          <t>Dragon Horse</t>
        </is>
      </c>
      <c r="L62" s="16" t="inlineStr">
        <is>
          <t>Peacekeeper</t>
        </is>
      </c>
      <c r="M62" s="3" t="n"/>
      <c r="N62" s="3" t="n"/>
    </row>
    <row r="63">
      <c r="A63" s="7" t="n">
        <v>4</v>
      </c>
      <c r="B63" s="8" t="inlineStr">
        <is>
          <t>Battle of Baekgang</t>
        </is>
      </c>
      <c r="C63" s="8" t="inlineStr">
        <is>
          <t>AD 663</t>
        </is>
      </c>
      <c r="D63" s="7" t="n">
        <v>3373</v>
      </c>
      <c r="E63" s="7" t="n"/>
      <c r="F63" s="7" t="n">
        <v>1254</v>
      </c>
      <c r="G63" s="7" t="n"/>
      <c r="H63" s="7" t="inlineStr">
        <is>
          <t>X</t>
        </is>
      </c>
      <c r="I63" s="7" t="inlineStr">
        <is>
          <t>X</t>
        </is>
      </c>
      <c r="J63" s="7" t="inlineStr">
        <is>
          <t>X</t>
        </is>
      </c>
      <c r="K63" s="7" t="inlineStr">
        <is>
          <t>X</t>
        </is>
      </c>
      <c r="L63" s="7" t="n"/>
      <c r="M63" s="3" t="n"/>
      <c r="N63" s="3" t="n"/>
    </row>
    <row r="64">
      <c r="A64" s="7" t="n">
        <v>18</v>
      </c>
      <c r="B64" s="8" t="inlineStr">
        <is>
          <t>Battle of Actium</t>
        </is>
      </c>
      <c r="C64" s="8" t="inlineStr">
        <is>
          <t>BC 31</t>
        </is>
      </c>
      <c r="D64" s="7" t="n">
        <v>6746</v>
      </c>
      <c r="E64" s="7" t="n"/>
      <c r="F64" s="7" t="n">
        <v>3425</v>
      </c>
      <c r="G64" s="7" t="n"/>
      <c r="H64" s="7" t="inlineStr">
        <is>
          <t>X</t>
        </is>
      </c>
      <c r="I64" s="7" t="inlineStr">
        <is>
          <t>X</t>
        </is>
      </c>
      <c r="J64" s="7" t="inlineStr">
        <is>
          <t>X</t>
        </is>
      </c>
      <c r="K64" s="7" t="inlineStr">
        <is>
          <t>X</t>
        </is>
      </c>
      <c r="L64" s="7" t="n"/>
      <c r="M64" s="3" t="n"/>
      <c r="N64" s="3" t="n"/>
    </row>
    <row r="65">
      <c r="A65" s="7" t="n">
        <v>29</v>
      </c>
      <c r="B65" s="8" t="inlineStr">
        <is>
          <t>Battle of Noryang</t>
        </is>
      </c>
      <c r="C65" s="8" t="inlineStr">
        <is>
          <t>AD 1598</t>
        </is>
      </c>
      <c r="D65" s="7" t="n">
        <v>10119</v>
      </c>
      <c r="E65" s="7" t="n"/>
      <c r="F65" s="7" t="n">
        <v>7588</v>
      </c>
      <c r="G65" s="7" t="n"/>
      <c r="H65" s="7" t="inlineStr">
        <is>
          <t>X</t>
        </is>
      </c>
      <c r="I65" s="7" t="inlineStr">
        <is>
          <t>X</t>
        </is>
      </c>
      <c r="J65" s="7" t="inlineStr">
        <is>
          <t>X</t>
        </is>
      </c>
      <c r="K65" s="7" t="inlineStr">
        <is>
          <t>X</t>
        </is>
      </c>
      <c r="L65" s="7" t="n"/>
      <c r="M65" s="3" t="n"/>
      <c r="N65" s="3" t="n"/>
    </row>
    <row r="66">
      <c r="A66" s="7" t="n">
        <v>42</v>
      </c>
      <c r="B66" s="8" t="inlineStr">
        <is>
          <t>Summit War</t>
        </is>
      </c>
      <c r="C66" s="8" t="inlineStr">
        <is>
          <t>AD 1520</t>
        </is>
      </c>
      <c r="D66" s="7" t="n">
        <v>13795</v>
      </c>
      <c r="E66" s="7" t="n"/>
      <c r="F66" s="7" t="n">
        <v>11065</v>
      </c>
      <c r="G66" s="7" t="n"/>
      <c r="H66" s="7" t="inlineStr">
        <is>
          <t>X</t>
        </is>
      </c>
      <c r="I66" s="7" t="inlineStr">
        <is>
          <t>X</t>
        </is>
      </c>
      <c r="J66" s="7" t="inlineStr">
        <is>
          <t>X</t>
        </is>
      </c>
      <c r="K66" s="7" t="inlineStr">
        <is>
          <t>X</t>
        </is>
      </c>
      <c r="L66" s="7" t="n"/>
      <c r="M66" s="3" t="n"/>
      <c r="N66" s="3" t="n"/>
    </row>
    <row r="67">
      <c r="A67" s="7" t="n">
        <v>57</v>
      </c>
      <c r="B67" s="8" t="inlineStr">
        <is>
          <t>Battle of Trafalgar</t>
        </is>
      </c>
      <c r="C67" s="8" t="inlineStr">
        <is>
          <t>AD 1805</t>
        </is>
      </c>
      <c r="D67" s="7" t="n">
        <v>19746</v>
      </c>
      <c r="E67" s="7" t="n"/>
      <c r="F67" s="7" t="n">
        <v>15946</v>
      </c>
      <c r="G67" s="7" t="n"/>
      <c r="H67" s="7" t="inlineStr">
        <is>
          <t>X</t>
        </is>
      </c>
      <c r="I67" s="7" t="inlineStr">
        <is>
          <t>X</t>
        </is>
      </c>
      <c r="J67" s="7" t="inlineStr">
        <is>
          <t>X</t>
        </is>
      </c>
      <c r="K67" s="7" t="inlineStr">
        <is>
          <t>X</t>
        </is>
      </c>
      <c r="L67" s="7" t="n"/>
      <c r="M67" s="3" t="n"/>
      <c r="N67" s="3" t="n"/>
    </row>
    <row r="68">
      <c r="A68" s="7" t="n">
        <v>64</v>
      </c>
      <c r="B68" s="8" t="inlineStr">
        <is>
          <t>Battle of Jutland</t>
        </is>
      </c>
      <c r="C68" s="8" t="inlineStr">
        <is>
          <t>AD 1916</t>
        </is>
      </c>
      <c r="D68" s="7" t="n">
        <v>23695</v>
      </c>
      <c r="E68" s="7" t="n"/>
      <c r="F68" s="7" t="n">
        <v>15946</v>
      </c>
      <c r="G68" s="7" t="n"/>
      <c r="H68" s="7" t="inlineStr">
        <is>
          <t>X</t>
        </is>
      </c>
      <c r="I68" s="7" t="inlineStr">
        <is>
          <t>X</t>
        </is>
      </c>
      <c r="J68" s="7" t="inlineStr">
        <is>
          <t>X</t>
        </is>
      </c>
      <c r="K68" s="7" t="inlineStr">
        <is>
          <t>X</t>
        </is>
      </c>
      <c r="L68" s="7" t="n"/>
      <c r="M68" s="3" t="n"/>
      <c r="N68" s="3" t="n"/>
    </row>
    <row r="69">
      <c r="A69" s="7" t="n">
        <v>78</v>
      </c>
      <c r="B69" s="8" t="inlineStr">
        <is>
          <t>Caribbean Battle</t>
        </is>
      </c>
      <c r="C69" s="8" t="inlineStr">
        <is>
          <t>AD 1670</t>
        </is>
      </c>
      <c r="D69" s="7" t="n">
        <v>31424</v>
      </c>
      <c r="E69" s="7" t="n"/>
      <c r="F69" s="7" t="n">
        <v>29656</v>
      </c>
      <c r="G69" s="7" t="n"/>
      <c r="H69" s="7" t="inlineStr">
        <is>
          <t>X</t>
        </is>
      </c>
      <c r="I69" s="7" t="inlineStr">
        <is>
          <t>X</t>
        </is>
      </c>
      <c r="J69" s="7" t="inlineStr">
        <is>
          <t>X</t>
        </is>
      </c>
      <c r="K69" s="7" t="inlineStr">
        <is>
          <t>X</t>
        </is>
      </c>
      <c r="L69" s="7" t="n"/>
      <c r="M69" s="3" t="n"/>
      <c r="N69" s="3" t="n"/>
    </row>
    <row r="70">
      <c r="A70" s="7" t="n">
        <v>94</v>
      </c>
      <c r="B70" s="8" t="inlineStr">
        <is>
          <t>Battle of Leyte Gulf</t>
        </is>
      </c>
      <c r="C70" s="8" t="inlineStr">
        <is>
          <t>AD 1944</t>
        </is>
      </c>
      <c r="D70" s="7" t="n">
        <v>39081</v>
      </c>
      <c r="E70" s="7" t="n"/>
      <c r="F70" s="7" t="n">
        <v>37707</v>
      </c>
      <c r="G70" s="7" t="n"/>
      <c r="H70" s="7" t="inlineStr">
        <is>
          <t>X</t>
        </is>
      </c>
      <c r="I70" s="7" t="inlineStr">
        <is>
          <t>X</t>
        </is>
      </c>
      <c r="J70" s="7" t="inlineStr">
        <is>
          <t>X</t>
        </is>
      </c>
      <c r="K70" s="7" t="inlineStr">
        <is>
          <t>X</t>
        </is>
      </c>
      <c r="L70" s="7" t="n"/>
      <c r="M70" s="3" t="n"/>
      <c r="N70" s="3" t="n"/>
    </row>
    <row r="71">
      <c r="A71" s="7" t="n">
        <v>104</v>
      </c>
      <c r="B71" s="8" t="inlineStr">
        <is>
          <t>Battle of Luermen</t>
        </is>
      </c>
      <c r="C71" s="8" t="inlineStr">
        <is>
          <t>AD 1656</t>
        </is>
      </c>
      <c r="D71" s="7" t="n">
        <v>43966</v>
      </c>
      <c r="E71" s="7" t="n"/>
      <c r="F71" s="7" t="n">
        <v>43585</v>
      </c>
      <c r="G71" s="7" t="n"/>
      <c r="H71" s="7" t="inlineStr">
        <is>
          <t>X</t>
        </is>
      </c>
      <c r="I71" s="7" t="inlineStr">
        <is>
          <t>X</t>
        </is>
      </c>
      <c r="J71" s="7" t="inlineStr">
        <is>
          <t>X</t>
        </is>
      </c>
      <c r="K71" s="7" t="inlineStr">
        <is>
          <t>X</t>
        </is>
      </c>
      <c r="L71" s="7" t="n"/>
      <c r="M71" s="3" t="n"/>
      <c r="N71" s="3" t="n"/>
    </row>
    <row r="72">
      <c r="A72" s="7" t="n">
        <v>120</v>
      </c>
      <c r="B72" s="8" t="inlineStr">
        <is>
          <t>Battle of Gravelines</t>
        </is>
      </c>
      <c r="C72" s="8" t="inlineStr">
        <is>
          <t>AD 1588</t>
        </is>
      </c>
      <c r="D72" s="7" t="n">
        <v>48852</v>
      </c>
      <c r="E72" s="7" t="n"/>
      <c r="F72" s="7" t="n">
        <v>53269</v>
      </c>
      <c r="G72" s="7" t="n"/>
      <c r="H72" s="7" t="inlineStr">
        <is>
          <t>X</t>
        </is>
      </c>
      <c r="I72" s="7" t="inlineStr">
        <is>
          <t>X</t>
        </is>
      </c>
      <c r="J72" s="7" t="inlineStr">
        <is>
          <t>X</t>
        </is>
      </c>
      <c r="K72" s="7" t="inlineStr">
        <is>
          <t>X</t>
        </is>
      </c>
      <c r="L72" s="7" t="n"/>
      <c r="M72" s="3" t="n"/>
      <c r="N72" s="3" t="n"/>
    </row>
    <row r="73">
      <c r="A73" s="7" t="n">
        <v>122</v>
      </c>
      <c r="B73" s="8" t="inlineStr">
        <is>
          <t>Treasure Battle</t>
        </is>
      </c>
      <c r="C73" s="8" t="inlineStr">
        <is>
          <t>AD 1753</t>
        </is>
      </c>
      <c r="D73" s="7" t="n">
        <v>53737</v>
      </c>
      <c r="E73" s="7" t="n">
        <v>44500</v>
      </c>
      <c r="F73" s="7" t="n">
        <v>58595</v>
      </c>
      <c r="G73" s="7" t="n">
        <v>30700</v>
      </c>
      <c r="H73" s="7" t="n"/>
      <c r="I73" s="7" t="n">
        <v>30</v>
      </c>
      <c r="J73" s="7" t="n">
        <v>30</v>
      </c>
      <c r="K73" s="7" t="n">
        <v>30</v>
      </c>
      <c r="L73" s="7" t="n">
        <v>23</v>
      </c>
      <c r="M73" s="3" t="n"/>
      <c r="N73" s="3" t="inlineStr">
        <is>
          <t>SYT Clear</t>
        </is>
      </c>
    </row>
    <row r="74">
      <c r="A74" s="7" t="n">
        <v>141</v>
      </c>
      <c r="B74" s="8" t="inlineStr">
        <is>
          <t>Battle of Diu</t>
        </is>
      </c>
      <c r="C74" s="8" t="inlineStr">
        <is>
          <t>AD 1509</t>
        </is>
      </c>
      <c r="D74" s="7" t="n">
        <v>58622</v>
      </c>
      <c r="E74" s="7" t="n">
        <v>48500</v>
      </c>
      <c r="F74" s="7" t="n">
        <v>63922</v>
      </c>
      <c r="G74" s="7" t="n"/>
      <c r="H74" s="7" t="inlineStr">
        <is>
          <t>X</t>
        </is>
      </c>
      <c r="I74" s="7" t="inlineStr">
        <is>
          <t>X</t>
        </is>
      </c>
      <c r="J74" s="7" t="inlineStr">
        <is>
          <t>X</t>
        </is>
      </c>
      <c r="K74" s="7" t="inlineStr">
        <is>
          <t>X</t>
        </is>
      </c>
      <c r="L74" s="7" t="n"/>
      <c r="M74" s="3" t="n"/>
      <c r="N74" s="3" t="n"/>
    </row>
    <row r="75">
      <c r="A75" s="7" t="n">
        <v>152</v>
      </c>
      <c r="B75" s="20" t="inlineStr">
        <is>
          <t>Battle of Sinop</t>
        </is>
      </c>
      <c r="C75" s="8" t="inlineStr">
        <is>
          <t>AD 1853</t>
        </is>
      </c>
      <c r="D75" s="7" t="n">
        <v>63507</v>
      </c>
      <c r="E75" s="7" t="n">
        <v>51000</v>
      </c>
      <c r="F75" s="7" t="n">
        <v>69249</v>
      </c>
      <c r="G75" s="7" t="n">
        <v>35400</v>
      </c>
      <c r="H75" s="7" t="inlineStr">
        <is>
          <t>X</t>
        </is>
      </c>
      <c r="I75" s="7" t="inlineStr">
        <is>
          <t>X</t>
        </is>
      </c>
      <c r="J75" s="7" t="inlineStr">
        <is>
          <t>X</t>
        </is>
      </c>
      <c r="K75" s="7" t="inlineStr">
        <is>
          <t>X</t>
        </is>
      </c>
      <c r="L75" s="7" t="n"/>
      <c r="M75" s="3" t="n"/>
      <c r="N75" s="3" t="n"/>
    </row>
    <row r="76">
      <c r="A76" s="7" t="n">
        <v>163</v>
      </c>
      <c r="B76" s="8" t="inlineStr">
        <is>
          <t>Battle of Tangdao</t>
        </is>
      </c>
      <c r="C76" s="8" t="inlineStr">
        <is>
          <t>AD 1161</t>
        </is>
      </c>
      <c r="D76" s="7" t="n">
        <v>68392</v>
      </c>
      <c r="E76" s="7" t="n">
        <v>50461</v>
      </c>
      <c r="F76" s="7" t="n">
        <v>74575</v>
      </c>
      <c r="G76" s="7" t="n"/>
      <c r="H76" s="7" t="n">
        <v>44</v>
      </c>
      <c r="I76" s="7" t="n">
        <v>34</v>
      </c>
      <c r="J76" s="7" t="n">
        <v>33</v>
      </c>
      <c r="K76" s="7" t="n"/>
      <c r="L76" s="7" t="n">
        <v>34</v>
      </c>
      <c r="M76" s="3" t="n"/>
      <c r="N76" s="3" t="inlineStr">
        <is>
          <t>Throne Clear</t>
        </is>
      </c>
    </row>
    <row r="77">
      <c r="A77" s="7" t="n">
        <v>174</v>
      </c>
      <c r="B77" s="8" t="inlineStr">
        <is>
          <t>Vikings</t>
        </is>
      </c>
      <c r="C77" s="8" t="inlineStr">
        <is>
          <t>AD 982</t>
        </is>
      </c>
      <c r="D77" s="7" t="n">
        <v>70593</v>
      </c>
      <c r="E77" s="7" t="n">
        <v>50100</v>
      </c>
      <c r="F77" s="7" t="n">
        <v>76975</v>
      </c>
      <c r="G77" s="7" t="n"/>
      <c r="H77" s="7" t="n"/>
      <c r="I77" s="7" t="n">
        <v>37</v>
      </c>
      <c r="J77" s="7" t="n">
        <v>42</v>
      </c>
      <c r="K77" s="7" t="n">
        <v>38</v>
      </c>
      <c r="L77" s="7" t="n">
        <v>28</v>
      </c>
      <c r="M77" s="3" t="n"/>
      <c r="N77" s="3" t="inlineStr">
        <is>
          <t>SYT Clear</t>
        </is>
      </c>
    </row>
    <row r="78">
      <c r="A78" s="7" t="n">
        <v>186</v>
      </c>
      <c r="B78" s="8" t="inlineStr">
        <is>
          <t>Battle of Lepanto</t>
        </is>
      </c>
      <c r="C78" s="8" t="inlineStr">
        <is>
          <t>AD 1571</t>
        </is>
      </c>
      <c r="D78" s="7" t="n">
        <v>74378</v>
      </c>
      <c r="E78" s="7" t="n">
        <v>51800</v>
      </c>
      <c r="F78" s="7" t="n">
        <v>81102</v>
      </c>
      <c r="G78" s="7" t="n"/>
      <c r="H78" s="7" t="n"/>
      <c r="I78" s="7" t="n">
        <v>39</v>
      </c>
      <c r="J78" s="7" t="n">
        <v>43</v>
      </c>
      <c r="K78" s="7" t="n">
        <v>39</v>
      </c>
      <c r="L78" s="7" t="n">
        <v>28</v>
      </c>
      <c r="M78" s="3" t="n"/>
      <c r="N78" s="3" t="inlineStr">
        <is>
          <t>SYT Clear</t>
        </is>
      </c>
    </row>
    <row r="79">
      <c r="A79" s="7" t="n">
        <v>195</v>
      </c>
      <c r="B79" s="8" t="inlineStr">
        <is>
          <t>Battle of Gallipoli</t>
        </is>
      </c>
      <c r="C79" s="8" t="inlineStr">
        <is>
          <t>AD 1915</t>
        </is>
      </c>
      <c r="D79" s="7" t="n">
        <v>78163</v>
      </c>
      <c r="E79" s="7" t="n">
        <v>54200</v>
      </c>
      <c r="F79" s="7" t="n">
        <v>85230</v>
      </c>
      <c r="G79" s="7" t="n"/>
      <c r="H79" s="7" t="n"/>
      <c r="I79" s="7" t="n">
        <v>43</v>
      </c>
      <c r="J79" s="7" t="n">
        <v>44</v>
      </c>
      <c r="K79" s="7" t="n">
        <v>39</v>
      </c>
      <c r="L79" s="7" t="n">
        <v>28</v>
      </c>
      <c r="M79" s="3" t="n"/>
      <c r="N79" s="3" t="inlineStr">
        <is>
          <t>SYT Clear</t>
        </is>
      </c>
    </row>
    <row r="80">
      <c r="A80" s="7" t="n">
        <v>207</v>
      </c>
      <c r="B80" s="8" t="inlineStr">
        <is>
          <t>Battle of Lissa</t>
        </is>
      </c>
      <c r="C80" s="8" t="inlineStr">
        <is>
          <t>AD 1886</t>
        </is>
      </c>
      <c r="D80" s="7" t="n">
        <v>80364</v>
      </c>
      <c r="E80" s="7" t="n">
        <v>54900</v>
      </c>
      <c r="F80" s="7" t="n">
        <v>87630</v>
      </c>
      <c r="G80" s="7" t="n"/>
      <c r="H80" s="7" t="n"/>
      <c r="I80" s="7" t="n">
        <v>43</v>
      </c>
      <c r="J80" s="7" t="n">
        <v>44</v>
      </c>
      <c r="K80" s="7" t="n">
        <v>40</v>
      </c>
      <c r="L80" s="7" t="n">
        <v>28</v>
      </c>
      <c r="M80" s="3" t="n"/>
      <c r="N80" s="3" t="inlineStr">
        <is>
          <t>SYT Clear</t>
        </is>
      </c>
    </row>
    <row r="81">
      <c r="A81" s="7" t="n">
        <v>208</v>
      </c>
      <c r="B81" s="8" t="inlineStr">
        <is>
          <t>Philippine Sea Battle</t>
        </is>
      </c>
      <c r="C81" s="8" t="inlineStr">
        <is>
          <t>AD 1944</t>
        </is>
      </c>
      <c r="D81" s="7" t="n">
        <v>84148</v>
      </c>
      <c r="E81" s="7" t="n">
        <v>57200</v>
      </c>
      <c r="F81" s="7" t="n">
        <v>91756</v>
      </c>
      <c r="G81" s="7" t="n"/>
      <c r="H81" s="7" t="n"/>
      <c r="I81" s="7" t="n">
        <v>45</v>
      </c>
      <c r="J81" s="7" t="n">
        <v>44</v>
      </c>
      <c r="K81" s="7" t="n">
        <v>43</v>
      </c>
      <c r="L81" s="7" t="n">
        <v>32</v>
      </c>
      <c r="M81" s="3" t="n"/>
      <c r="N81" s="3" t="inlineStr">
        <is>
          <t>Self Clear</t>
        </is>
      </c>
    </row>
    <row r="82">
      <c r="A82" s="7" t="n">
        <v>216</v>
      </c>
      <c r="B82" s="8" t="inlineStr">
        <is>
          <t>Battle of Tsushima</t>
        </is>
      </c>
      <c r="C82" s="8" t="inlineStr">
        <is>
          <t>AD 1905</t>
        </is>
      </c>
      <c r="D82" s="7" t="n">
        <v>87933</v>
      </c>
      <c r="E82" s="7" t="n">
        <v>71800</v>
      </c>
      <c r="F82" s="7" t="n">
        <v>95883</v>
      </c>
      <c r="G82" s="7" t="n"/>
      <c r="H82" s="7" t="n"/>
      <c r="I82" s="7" t="n">
        <v>43</v>
      </c>
      <c r="J82" s="7" t="n">
        <v>47</v>
      </c>
      <c r="K82" s="7" t="n">
        <v>43</v>
      </c>
      <c r="L82" s="7" t="n">
        <v>28</v>
      </c>
      <c r="M82" s="3" t="n"/>
      <c r="N82" s="3" t="inlineStr">
        <is>
          <t>SYT Clear</t>
        </is>
      </c>
    </row>
    <row r="83">
      <c r="A83" s="7" t="n">
        <v>226</v>
      </c>
      <c r="B83" s="8" t="inlineStr">
        <is>
          <t>Battle of Chesma</t>
        </is>
      </c>
      <c r="C83" s="8" t="inlineStr">
        <is>
          <t>AD 1770</t>
        </is>
      </c>
      <c r="D83" s="7" t="n">
        <v>90134</v>
      </c>
      <c r="E83" s="7" t="n">
        <v>61500</v>
      </c>
      <c r="F83" s="7" t="n">
        <v>98283</v>
      </c>
      <c r="G83" s="7" t="n"/>
      <c r="H83" s="7" t="n"/>
      <c r="I83" s="7" t="n">
        <v>48</v>
      </c>
      <c r="J83" s="7" t="n">
        <v>47</v>
      </c>
      <c r="K83" s="7" t="n">
        <v>45</v>
      </c>
      <c r="L83" s="7" t="n">
        <v>32</v>
      </c>
      <c r="M83" s="3" t="n"/>
      <c r="N83" s="3" t="inlineStr">
        <is>
          <t>Self Clear</t>
        </is>
      </c>
    </row>
    <row r="84">
      <c r="A84" s="7" t="n">
        <v>231</v>
      </c>
      <c r="B84" s="8" t="inlineStr">
        <is>
          <t>Battle of Navarino</t>
        </is>
      </c>
      <c r="C84" s="8" t="inlineStr">
        <is>
          <t>AD 1827</t>
        </is>
      </c>
      <c r="D84" s="7" t="n">
        <v>93919</v>
      </c>
      <c r="E84" s="7" t="n">
        <v>65700</v>
      </c>
      <c r="F84" s="7" t="n">
        <v>102410</v>
      </c>
      <c r="G84" s="7" t="n"/>
      <c r="H84" s="7" t="n"/>
      <c r="I84" s="7" t="n">
        <v>51</v>
      </c>
      <c r="J84" s="7" t="n">
        <v>51</v>
      </c>
      <c r="K84" s="7" t="n">
        <v>47</v>
      </c>
      <c r="L84" s="7" t="n">
        <v>32</v>
      </c>
      <c r="M84" s="3" t="n"/>
      <c r="N84" s="3" t="inlineStr">
        <is>
          <t>Self Clear</t>
        </is>
      </c>
    </row>
    <row r="85">
      <c r="A85" s="7" t="n">
        <v>240</v>
      </c>
      <c r="B85" s="8" t="inlineStr">
        <is>
          <t>Battle of Midway</t>
        </is>
      </c>
      <c r="C85" s="8" t="inlineStr">
        <is>
          <t>AD 1942</t>
        </is>
      </c>
      <c r="D85" s="7" t="n">
        <v>97704</v>
      </c>
      <c r="E85" s="7" t="n">
        <v>68900</v>
      </c>
      <c r="F85" s="7" t="n">
        <v>106538</v>
      </c>
      <c r="G85" s="7" t="n"/>
      <c r="H85" s="7" t="n"/>
      <c r="I85" s="7" t="n">
        <v>53</v>
      </c>
      <c r="J85" s="7" t="n">
        <v>52</v>
      </c>
      <c r="K85" s="7" t="n">
        <v>49</v>
      </c>
      <c r="L85" s="7" t="n">
        <v>35</v>
      </c>
      <c r="M85" s="3" t="n"/>
      <c r="N85" s="3" t="inlineStr">
        <is>
          <t>Self Clear</t>
        </is>
      </c>
    </row>
    <row r="86"/>
    <row r="87"/>
    <row r="88"/>
    <row r="89">
      <c r="A89" s="13" t="inlineStr">
        <is>
          <t>Ninjutsu (Yamato)</t>
        </is>
      </c>
      <c r="B89" s="14" t="n"/>
      <c r="C89" s="14" t="n"/>
      <c r="D89" s="14" t="n"/>
      <c r="E89" s="14" t="n"/>
      <c r="F89" s="14" t="n"/>
      <c r="G89" s="14" t="n"/>
      <c r="H89" s="14" t="n"/>
      <c r="I89" s="14" t="n"/>
      <c r="J89" s="14" t="n"/>
      <c r="K89" s="14" t="n"/>
      <c r="L89" s="19" t="n"/>
      <c r="M89" s="3" t="n"/>
      <c r="N89" s="3" t="n"/>
    </row>
    <row r="90">
      <c r="A90" s="16" t="inlineStr">
        <is>
          <t>No.</t>
        </is>
      </c>
      <c r="B90" s="16" t="inlineStr">
        <is>
          <t>Name</t>
        </is>
      </c>
      <c r="C90" s="16" t="inlineStr">
        <is>
          <t>Setting</t>
        </is>
      </c>
      <c r="D90" s="16" t="inlineStr">
        <is>
          <t>Rec. Nin.</t>
        </is>
      </c>
      <c r="E90" s="16" t="inlineStr">
        <is>
          <t>Clear Nin.</t>
        </is>
      </c>
      <c r="F90" s="16" t="inlineStr">
        <is>
          <t>Weakness</t>
        </is>
      </c>
      <c r="G90" s="16" t="inlineStr">
        <is>
          <t>HP</t>
        </is>
      </c>
      <c r="H90" s="16" t="inlineStr">
        <is>
          <t>Momochi</t>
        </is>
      </c>
      <c r="I90" s="16" t="inlineStr">
        <is>
          <t>Hitman</t>
        </is>
      </c>
      <c r="J90" s="16" t="inlineStr">
        <is>
          <t>Poisoner</t>
        </is>
      </c>
      <c r="K90" s="16" t="inlineStr">
        <is>
          <t>Amakusa</t>
        </is>
      </c>
      <c r="L90" s="16" t="inlineStr">
        <is>
          <t>Kitty</t>
        </is>
      </c>
      <c r="M90" s="3" t="n"/>
      <c r="N90" s="3" t="n"/>
    </row>
    <row r="91">
      <c r="A91" s="7" t="n">
        <v>5</v>
      </c>
      <c r="B91" s="8" t="inlineStr">
        <is>
          <t>Shimabara Rebellion</t>
        </is>
      </c>
      <c r="C91" s="8" t="inlineStr">
        <is>
          <t>AD 1637</t>
        </is>
      </c>
      <c r="D91" s="7" t="n">
        <v>1544</v>
      </c>
      <c r="E91" s="7" t="n"/>
      <c r="F91" s="7" t="inlineStr">
        <is>
          <t>Earth</t>
        </is>
      </c>
      <c r="G91" s="21" t="n"/>
      <c r="H91" s="7" t="n"/>
      <c r="I91" s="7" t="n"/>
      <c r="J91" s="7" t="n"/>
      <c r="K91" s="7" t="n"/>
      <c r="L91" s="7" t="n"/>
      <c r="M91" s="3" t="n"/>
      <c r="N91" s="3" t="n"/>
    </row>
    <row r="92">
      <c r="A92" s="7" t="n">
        <v>10</v>
      </c>
      <c r="B92" s="8" t="inlineStr">
        <is>
          <t>Honno-ji Incident</t>
        </is>
      </c>
      <c r="C92" s="8" t="inlineStr">
        <is>
          <t>AD 1582</t>
        </is>
      </c>
      <c r="D92" s="7" t="n">
        <v>2132</v>
      </c>
      <c r="E92" s="7" t="n"/>
      <c r="F92" s="7" t="inlineStr">
        <is>
          <t>Water</t>
        </is>
      </c>
      <c r="G92" s="21" t="n"/>
      <c r="H92" s="7" t="inlineStr">
        <is>
          <t>X</t>
        </is>
      </c>
      <c r="I92" s="7" t="inlineStr">
        <is>
          <t>X</t>
        </is>
      </c>
      <c r="J92" s="7" t="n"/>
      <c r="K92" s="7" t="inlineStr">
        <is>
          <t>X</t>
        </is>
      </c>
      <c r="L92" s="7" t="n"/>
      <c r="M92" s="3" t="n"/>
      <c r="N92" s="3" t="n"/>
    </row>
    <row r="93">
      <c r="A93" s="7" t="n">
        <v>20</v>
      </c>
      <c r="B93" s="8" t="inlineStr">
        <is>
          <t>Ganryu Showdown</t>
        </is>
      </c>
      <c r="C93" s="8" t="inlineStr">
        <is>
          <t>AD 1612</t>
        </is>
      </c>
      <c r="D93" s="7" t="n">
        <v>3517</v>
      </c>
      <c r="E93" s="7" t="n">
        <v>4500</v>
      </c>
      <c r="F93" s="7" t="inlineStr">
        <is>
          <t>Fire</t>
        </is>
      </c>
      <c r="G93" s="21" t="n"/>
      <c r="H93" s="7" t="inlineStr">
        <is>
          <t>X</t>
        </is>
      </c>
      <c r="I93" s="7" t="inlineStr">
        <is>
          <t>X</t>
        </is>
      </c>
      <c r="J93" s="7" t="n"/>
      <c r="K93" s="7" t="inlineStr">
        <is>
          <t>X</t>
        </is>
      </c>
      <c r="L93" s="7" t="n"/>
      <c r="M93" s="3" t="n"/>
      <c r="N93" s="3" t="n"/>
    </row>
    <row r="94">
      <c r="A94" s="7" t="n">
        <v>30</v>
      </c>
      <c r="B94" s="8" t="inlineStr">
        <is>
          <t>Ikedaya Incident</t>
        </is>
      </c>
      <c r="C94" s="8" t="inlineStr">
        <is>
          <t>AD 1864</t>
        </is>
      </c>
      <c r="D94" s="7" t="n">
        <v>6725</v>
      </c>
      <c r="E94" s="7" t="n">
        <v>7750</v>
      </c>
      <c r="F94" s="7" t="inlineStr">
        <is>
          <t>Wind</t>
        </is>
      </c>
      <c r="G94" s="21" t="n"/>
      <c r="H94" s="7" t="inlineStr">
        <is>
          <t>X</t>
        </is>
      </c>
      <c r="I94" s="7" t="inlineStr">
        <is>
          <t>X</t>
        </is>
      </c>
      <c r="J94" s="7" t="n"/>
      <c r="K94" s="7" t="inlineStr">
        <is>
          <t>X</t>
        </is>
      </c>
      <c r="L94" s="7" t="n"/>
      <c r="M94" s="3" t="n"/>
      <c r="N94" s="3" t="n"/>
    </row>
    <row r="95">
      <c r="A95" s="7" t="n">
        <v>35</v>
      </c>
      <c r="B95" s="8" t="inlineStr">
        <is>
          <t>The First Ninja War</t>
        </is>
      </c>
      <c r="C95" s="8" t="inlineStr">
        <is>
          <t>BC 429</t>
        </is>
      </c>
      <c r="D95" s="7" t="n">
        <v>7555</v>
      </c>
      <c r="E95" s="7" t="n">
        <v>9000</v>
      </c>
      <c r="F95" s="7" t="inlineStr">
        <is>
          <t>Wind</t>
        </is>
      </c>
      <c r="G95" s="21" t="n"/>
      <c r="H95" s="7" t="inlineStr">
        <is>
          <t>X</t>
        </is>
      </c>
      <c r="I95" s="7" t="inlineStr">
        <is>
          <t>X</t>
        </is>
      </c>
      <c r="J95" s="7" t="n"/>
      <c r="K95" s="7" t="inlineStr">
        <is>
          <t>X</t>
        </is>
      </c>
      <c r="L95" s="7" t="n"/>
      <c r="M95" s="3" t="n"/>
      <c r="N95" s="3" t="n"/>
    </row>
    <row r="96">
      <c r="A96" s="7" t="n">
        <v>40</v>
      </c>
      <c r="B96" s="8" t="inlineStr">
        <is>
          <t>Battle of Sekigahara</t>
        </is>
      </c>
      <c r="C96" s="8" t="inlineStr">
        <is>
          <t>AD 1600</t>
        </is>
      </c>
      <c r="D96" s="7" t="n">
        <v>14076</v>
      </c>
      <c r="E96" s="7" t="n"/>
      <c r="F96" s="7" t="inlineStr">
        <is>
          <t>Water</t>
        </is>
      </c>
      <c r="G96" s="21" t="n"/>
      <c r="H96" s="7" t="inlineStr">
        <is>
          <t>X</t>
        </is>
      </c>
      <c r="I96" s="7" t="inlineStr">
        <is>
          <t>X</t>
        </is>
      </c>
      <c r="J96" s="7" t="inlineStr">
        <is>
          <t>X</t>
        </is>
      </c>
      <c r="K96" s="7" t="n"/>
      <c r="L96" s="7" t="n"/>
      <c r="M96" s="3" t="n"/>
      <c r="N96" s="3" t="n"/>
    </row>
    <row r="97">
      <c r="A97" s="7" t="n">
        <v>52</v>
      </c>
      <c r="B97" s="8" t="inlineStr">
        <is>
          <t>Ikko-shu Uprising</t>
        </is>
      </c>
      <c r="C97" s="8" t="inlineStr">
        <is>
          <t>AD 1532</t>
        </is>
      </c>
      <c r="D97" s="7" t="n">
        <v>17595</v>
      </c>
      <c r="E97" s="7" t="n">
        <v>15900</v>
      </c>
      <c r="F97" s="7" t="inlineStr">
        <is>
          <t>Fire</t>
        </is>
      </c>
      <c r="G97" s="21" t="n"/>
      <c r="H97" s="7" t="inlineStr">
        <is>
          <t>X</t>
        </is>
      </c>
      <c r="I97" s="7" t="n"/>
      <c r="J97" s="7" t="inlineStr">
        <is>
          <t>X</t>
        </is>
      </c>
      <c r="K97" s="7" t="inlineStr">
        <is>
          <t>X</t>
        </is>
      </c>
      <c r="L97" s="7" t="n"/>
      <c r="M97" s="3" t="n"/>
      <c r="N97" s="3" t="n"/>
    </row>
    <row r="98">
      <c r="A98" s="7" t="n">
        <v>55</v>
      </c>
      <c r="B98" s="8" t="inlineStr">
        <is>
          <t>Battle of Okehazama</t>
        </is>
      </c>
      <c r="C98" s="8" t="inlineStr">
        <is>
          <t>AD 1560</t>
        </is>
      </c>
      <c r="D98" s="7" t="n">
        <v>18442</v>
      </c>
      <c r="E98" s="7" t="n">
        <v>16500</v>
      </c>
      <c r="F98" s="7" t="inlineStr">
        <is>
          <t>Fire</t>
        </is>
      </c>
      <c r="G98" s="21" t="n"/>
      <c r="H98" s="7" t="inlineStr">
        <is>
          <t>X</t>
        </is>
      </c>
      <c r="I98" s="7" t="n"/>
      <c r="J98" s="7" t="inlineStr">
        <is>
          <t>X</t>
        </is>
      </c>
      <c r="K98" s="7" t="inlineStr">
        <is>
          <t>X</t>
        </is>
      </c>
      <c r="L98" s="7" t="n"/>
      <c r="M98" s="3" t="n"/>
      <c r="N98" s="3" t="n"/>
    </row>
    <row r="99">
      <c r="A99" s="7" t="n">
        <v>63</v>
      </c>
      <c r="B99" s="8" t="inlineStr">
        <is>
          <t>The Second Ninja War</t>
        </is>
      </c>
      <c r="C99" s="8" t="inlineStr">
        <is>
          <t>BC 397</t>
        </is>
      </c>
      <c r="D99" s="7" t="n">
        <v>20853</v>
      </c>
      <c r="E99" s="7" t="n">
        <v>17200</v>
      </c>
      <c r="F99" s="7" t="inlineStr">
        <is>
          <t>Earth</t>
        </is>
      </c>
      <c r="G99" s="21" t="n"/>
      <c r="H99" s="7" t="inlineStr">
        <is>
          <t>X</t>
        </is>
      </c>
      <c r="I99" s="7" t="n"/>
      <c r="J99" s="7" t="inlineStr">
        <is>
          <t>X</t>
        </is>
      </c>
      <c r="K99" s="7" t="inlineStr">
        <is>
          <t>X</t>
        </is>
      </c>
      <c r="L99" s="7" t="n"/>
      <c r="M99" s="3" t="n"/>
      <c r="N99" s="3" t="n"/>
    </row>
    <row r="100">
      <c r="A100" s="7" t="n">
        <v>79</v>
      </c>
      <c r="B100" s="8" t="inlineStr">
        <is>
          <t>Kawanakajima Battle</t>
        </is>
      </c>
      <c r="C100" s="8" t="inlineStr">
        <is>
          <t>AD 1561</t>
        </is>
      </c>
      <c r="D100" s="7" t="n">
        <v>25697</v>
      </c>
      <c r="E100" s="7" t="n">
        <v>18700</v>
      </c>
      <c r="F100" s="7" t="inlineStr">
        <is>
          <t>Water</t>
        </is>
      </c>
      <c r="G100" s="21" t="n"/>
      <c r="H100" s="7" t="n">
        <v>29</v>
      </c>
      <c r="I100" s="7" t="n"/>
      <c r="J100" s="7" t="n">
        <v>12</v>
      </c>
      <c r="K100" s="7" t="n">
        <v>11</v>
      </c>
      <c r="L100" s="7" t="n"/>
      <c r="M100" s="3" t="n"/>
      <c r="N100" s="3" t="n"/>
    </row>
    <row r="101">
      <c r="A101" s="7" t="n">
        <v>82</v>
      </c>
      <c r="B101" s="8" t="inlineStr">
        <is>
          <t>Tengu Hunt</t>
        </is>
      </c>
      <c r="C101" s="8" t="inlineStr">
        <is>
          <t>AD 1999</t>
        </is>
      </c>
      <c r="D101" s="7" t="n">
        <v>26184</v>
      </c>
      <c r="E101" s="7" t="n">
        <v>20900</v>
      </c>
      <c r="F101" s="7" t="inlineStr">
        <is>
          <t>Fire</t>
        </is>
      </c>
      <c r="G101" s="21" t="n"/>
      <c r="H101" s="7" t="n">
        <v>30</v>
      </c>
      <c r="I101" s="7" t="n"/>
      <c r="J101" s="7" t="n">
        <v>14</v>
      </c>
      <c r="K101" s="7" t="n">
        <v>14</v>
      </c>
      <c r="L101" s="7" t="n"/>
      <c r="M101" s="3" t="n"/>
      <c r="N101" s="3" t="n"/>
    </row>
    <row r="102">
      <c r="A102" s="7" t="n">
        <v>88</v>
      </c>
      <c r="B102" s="8" t="inlineStr">
        <is>
          <t>Battle of Bun'ei</t>
        </is>
      </c>
      <c r="C102" s="8" t="inlineStr">
        <is>
          <t>AD 1274</t>
        </is>
      </c>
      <c r="D102" s="7" t="n">
        <v>28476</v>
      </c>
      <c r="E102" s="7" t="n">
        <v>25700</v>
      </c>
      <c r="F102" s="7" t="inlineStr">
        <is>
          <t>Wind</t>
        </is>
      </c>
      <c r="G102" s="21" t="n"/>
      <c r="H102" s="7" t="inlineStr">
        <is>
          <t>X</t>
        </is>
      </c>
      <c r="I102" s="7" t="inlineStr">
        <is>
          <t>X</t>
        </is>
      </c>
      <c r="J102" s="7" t="inlineStr">
        <is>
          <t>X</t>
        </is>
      </c>
      <c r="K102" s="7" t="n"/>
      <c r="L102" s="7" t="n"/>
      <c r="M102" s="3" t="n"/>
      <c r="N102" s="3" t="n"/>
    </row>
    <row r="103">
      <c r="A103" s="7" t="n">
        <v>98</v>
      </c>
      <c r="B103" s="20" t="inlineStr">
        <is>
          <t>The Third Ninja War</t>
        </is>
      </c>
      <c r="C103" s="8" t="inlineStr">
        <is>
          <t>BC 371</t>
        </is>
      </c>
      <c r="D103" s="7" t="n">
        <v>31385</v>
      </c>
      <c r="E103" s="7" t="n">
        <v>28500</v>
      </c>
      <c r="F103" s="17" t="inlineStr">
        <is>
          <t>Fire</t>
        </is>
      </c>
      <c r="G103" s="22" t="n"/>
      <c r="H103" s="17" t="inlineStr">
        <is>
          <t>X</t>
        </is>
      </c>
      <c r="I103" s="17" t="inlineStr">
        <is>
          <t>X</t>
        </is>
      </c>
      <c r="J103" s="17" t="inlineStr">
        <is>
          <t>X</t>
        </is>
      </c>
      <c r="K103" s="17" t="n"/>
      <c r="L103" s="17" t="n"/>
      <c r="M103" s="3" t="n"/>
      <c r="N103" s="3" t="n"/>
    </row>
    <row r="104">
      <c r="A104" s="7" t="n">
        <v>105</v>
      </c>
      <c r="B104" s="8" t="inlineStr">
        <is>
          <t>The Fourth Ninja War</t>
        </is>
      </c>
      <c r="C104" s="8" t="inlineStr">
        <is>
          <t>BC 324</t>
        </is>
      </c>
      <c r="D104" s="7" t="n">
        <v>33320</v>
      </c>
      <c r="E104" s="7" t="n">
        <v>28900</v>
      </c>
      <c r="F104" s="17" t="inlineStr">
        <is>
          <t>Earth</t>
        </is>
      </c>
      <c r="G104" s="22" t="n"/>
      <c r="H104" s="17" t="inlineStr">
        <is>
          <t>X</t>
        </is>
      </c>
      <c r="I104" s="17" t="inlineStr">
        <is>
          <t>X</t>
        </is>
      </c>
      <c r="J104" s="17" t="inlineStr">
        <is>
          <t>X</t>
        </is>
      </c>
      <c r="K104" s="17" t="n"/>
      <c r="L104" s="17" t="n"/>
      <c r="M104" s="3" t="n"/>
      <c r="N104" s="3" t="n"/>
    </row>
    <row r="105">
      <c r="A105" s="7" t="n">
        <v>116</v>
      </c>
      <c r="B105" s="8" t="inlineStr">
        <is>
          <t>Battle of Takamagahara</t>
        </is>
      </c>
      <c r="C105" s="8" t="inlineStr">
        <is>
          <t>BC 428</t>
        </is>
      </c>
      <c r="D105" s="7" t="n">
        <v>36828</v>
      </c>
      <c r="E105" s="7" t="n">
        <v>29700</v>
      </c>
      <c r="F105" s="17" t="inlineStr">
        <is>
          <t>Fire</t>
        </is>
      </c>
      <c r="G105" s="22" t="n"/>
      <c r="H105" s="17" t="inlineStr">
        <is>
          <t>X</t>
        </is>
      </c>
      <c r="I105" s="17" t="inlineStr">
        <is>
          <t>X</t>
        </is>
      </c>
      <c r="J105" s="17" t="inlineStr">
        <is>
          <t>X</t>
        </is>
      </c>
      <c r="K105" s="17" t="n"/>
      <c r="L105" s="17" t="n"/>
      <c r="M105" s="3" t="n"/>
      <c r="N105" s="3" t="n"/>
    </row>
    <row r="106">
      <c r="A106" s="7" t="n">
        <v>136</v>
      </c>
      <c r="B106" s="8" t="inlineStr">
        <is>
          <t>Onin War</t>
        </is>
      </c>
      <c r="C106" s="8" t="inlineStr">
        <is>
          <t>AD 1467</t>
        </is>
      </c>
      <c r="D106" s="7" t="n">
        <v>41431</v>
      </c>
      <c r="E106" s="7" t="n">
        <v>31900</v>
      </c>
      <c r="F106" s="17" t="inlineStr">
        <is>
          <t>Fire</t>
        </is>
      </c>
      <c r="G106" s="23" t="n">
        <v>1582200</v>
      </c>
      <c r="H106" s="17" t="n">
        <v>38</v>
      </c>
      <c r="I106" s="17" t="n"/>
      <c r="J106" s="17" t="n">
        <v>34</v>
      </c>
      <c r="K106" s="17" t="n">
        <v>31</v>
      </c>
      <c r="L106" s="17" t="n"/>
      <c r="M106" s="3" t="n"/>
      <c r="N106" s="3" t="inlineStr">
        <is>
          <t>Self Clear</t>
        </is>
      </c>
    </row>
    <row r="107">
      <c r="A107" s="7" t="n">
        <v>150</v>
      </c>
      <c r="B107" s="8" t="inlineStr">
        <is>
          <t>Crusade for Music</t>
        </is>
      </c>
      <c r="C107" s="8" t="inlineStr">
        <is>
          <t>AD 1979</t>
        </is>
      </c>
      <c r="D107" s="7" t="n">
        <v>46035</v>
      </c>
      <c r="E107" s="7" t="n">
        <v>32000</v>
      </c>
      <c r="F107" s="17" t="inlineStr">
        <is>
          <t>Fire</t>
        </is>
      </c>
      <c r="G107" s="23" t="n">
        <v>1982066</v>
      </c>
      <c r="H107" s="17" t="n">
        <v>41</v>
      </c>
      <c r="I107" s="17" t="n">
        <v>41</v>
      </c>
      <c r="J107" s="17" t="n">
        <v>38</v>
      </c>
      <c r="K107" s="17" t="n"/>
      <c r="L107" s="17" t="n"/>
      <c r="M107" s="3" t="n"/>
      <c r="N107" s="3" t="inlineStr">
        <is>
          <t>Self Clear</t>
        </is>
      </c>
    </row>
    <row r="108">
      <c r="A108" s="7" t="n">
        <v>158</v>
      </c>
      <c r="B108" s="8" t="inlineStr">
        <is>
          <t>Isshi Incident</t>
        </is>
      </c>
      <c r="C108" s="8" t="inlineStr">
        <is>
          <t>AD 645</t>
        </is>
      </c>
      <c r="D108" s="7" t="n">
        <v>50638</v>
      </c>
      <c r="E108" s="7" t="n">
        <v>42100</v>
      </c>
      <c r="F108" s="17" t="inlineStr">
        <is>
          <t>Earth</t>
        </is>
      </c>
      <c r="G108" s="23" t="n">
        <v>2591266</v>
      </c>
      <c r="H108" s="17" t="n">
        <v>43</v>
      </c>
      <c r="I108" s="17" t="n"/>
      <c r="J108" s="17" t="n">
        <v>41</v>
      </c>
      <c r="K108" s="17" t="n">
        <v>43</v>
      </c>
      <c r="L108" s="17" t="n"/>
      <c r="M108" s="3" t="n"/>
      <c r="N108" s="3" t="inlineStr">
        <is>
          <t>Self Clear</t>
        </is>
      </c>
    </row>
    <row r="109">
      <c r="A109" s="7" t="n">
        <v>180</v>
      </c>
      <c r="B109" s="8" t="inlineStr">
        <is>
          <t>Tensho Iga War</t>
        </is>
      </c>
      <c r="C109" s="8" t="inlineStr">
        <is>
          <t>AD 1579</t>
        </is>
      </c>
      <c r="D109" s="7" t="n">
        <v>55242</v>
      </c>
      <c r="E109" s="7" t="n">
        <v>44200</v>
      </c>
      <c r="F109" s="17" t="inlineStr">
        <is>
          <t>Water</t>
        </is>
      </c>
      <c r="G109" s="23" t="n">
        <v>3759716</v>
      </c>
      <c r="H109" s="17" t="n">
        <v>46</v>
      </c>
      <c r="I109" s="17" t="n"/>
      <c r="J109" s="17" t="n">
        <v>44</v>
      </c>
      <c r="K109" s="17" t="n">
        <v>46</v>
      </c>
      <c r="L109" s="17" t="n"/>
      <c r="M109" s="3" t="n"/>
      <c r="N109" s="3" t="inlineStr">
        <is>
          <t>Self Clear</t>
        </is>
      </c>
    </row>
    <row r="110">
      <c r="A110" s="7" t="n">
        <v>190</v>
      </c>
      <c r="B110" s="8" t="inlineStr">
        <is>
          <t>Genko War</t>
        </is>
      </c>
      <c r="C110" s="8" t="inlineStr">
        <is>
          <t>AD 1331</t>
        </is>
      </c>
      <c r="D110" s="7" t="n">
        <v>55242</v>
      </c>
      <c r="E110" s="7" t="n">
        <v>47600</v>
      </c>
      <c r="F110" s="17" t="inlineStr">
        <is>
          <t>Wind</t>
        </is>
      </c>
      <c r="G110" s="22" t="n"/>
      <c r="H110" s="17" t="n">
        <v>49</v>
      </c>
      <c r="I110" s="17" t="n"/>
      <c r="J110" s="17" t="n">
        <v>49</v>
      </c>
      <c r="K110" s="17" t="n">
        <v>49</v>
      </c>
      <c r="L110" s="17" t="n"/>
      <c r="M110" s="3" t="n"/>
      <c r="N110" s="3" t="inlineStr">
        <is>
          <t>Self Clear</t>
        </is>
      </c>
    </row>
    <row r="111">
      <c r="A111" s="7" t="n">
        <v>199</v>
      </c>
      <c r="B111" s="8" t="inlineStr">
        <is>
          <t>Battle of Dan-no-ura</t>
        </is>
      </c>
      <c r="C111" s="8" t="inlineStr">
        <is>
          <t>AD 1185</t>
        </is>
      </c>
      <c r="D111" s="7" t="n">
        <v>64449</v>
      </c>
      <c r="E111" s="7" t="n">
        <v>51600</v>
      </c>
      <c r="F111" s="17" t="inlineStr">
        <is>
          <t>Fire</t>
        </is>
      </c>
      <c r="G111" s="22" t="n"/>
      <c r="H111" s="17" t="n">
        <v>52</v>
      </c>
      <c r="I111" s="17" t="n"/>
      <c r="J111" s="17" t="n">
        <v>53</v>
      </c>
      <c r="K111" s="17" t="n">
        <v>53</v>
      </c>
      <c r="L111" s="17" t="n"/>
      <c r="M111" s="3" t="n"/>
      <c r="N111" s="3" t="inlineStr">
        <is>
          <t>Self Clear</t>
        </is>
      </c>
    </row>
    <row r="112">
      <c r="A112" s="7" t="n">
        <v>210</v>
      </c>
      <c r="B112" s="8" t="inlineStr">
        <is>
          <t>Campaign Against Ruler Date</t>
        </is>
      </c>
      <c r="C112" s="8" t="inlineStr">
        <is>
          <t>AD 1602</t>
        </is>
      </c>
      <c r="D112" s="7" t="n">
        <v>69052</v>
      </c>
      <c r="E112" s="7" t="n">
        <v>54400</v>
      </c>
      <c r="F112" s="17" t="inlineStr">
        <is>
          <t>Earth</t>
        </is>
      </c>
      <c r="G112" s="22" t="n"/>
      <c r="H112" s="17" t="n">
        <v>57</v>
      </c>
      <c r="I112" s="17" t="n"/>
      <c r="J112" s="17" t="n">
        <v>57</v>
      </c>
      <c r="K112" s="17" t="n">
        <v>57</v>
      </c>
      <c r="L112" s="17" t="n"/>
      <c r="M112" s="3" t="n"/>
      <c r="N112" s="3" t="inlineStr">
        <is>
          <t>Self Clear</t>
        </is>
      </c>
    </row>
    <row r="113">
      <c r="A113" s="7" t="n">
        <v>238</v>
      </c>
      <c r="B113" s="8" t="inlineStr">
        <is>
          <t>Siege of Ueda</t>
        </is>
      </c>
      <c r="C113" s="8" t="inlineStr">
        <is>
          <t>AD 1585</t>
        </is>
      </c>
      <c r="D113" s="7" t="n">
        <v>73656</v>
      </c>
      <c r="E113" s="7" t="n">
        <v>56500</v>
      </c>
      <c r="F113" s="17" t="inlineStr">
        <is>
          <t>Water</t>
        </is>
      </c>
      <c r="G113" s="22" t="n"/>
      <c r="H113" s="17" t="n">
        <v>60</v>
      </c>
      <c r="I113" s="17" t="n"/>
      <c r="J113" s="17" t="n">
        <v>60</v>
      </c>
      <c r="K113" s="17" t="n">
        <v>60</v>
      </c>
      <c r="L113" s="17" t="n"/>
      <c r="M113" s="3" t="n"/>
      <c r="N113" s="3" t="inlineStr">
        <is>
          <t>Self Clear</t>
        </is>
      </c>
    </row>
    <row r="114"/>
    <row r="115"/>
    <row r="116"/>
    <row r="117">
      <c r="A117" s="4" t="inlineStr">
        <is>
          <t>Defense (Kemet)</t>
        </is>
      </c>
      <c r="B117" s="5" t="n"/>
      <c r="C117" s="5" t="n"/>
      <c r="D117" s="5" t="n"/>
      <c r="E117" s="5" t="n"/>
      <c r="F117" s="5" t="n"/>
      <c r="G117" s="5" t="n"/>
      <c r="H117" s="5" t="n"/>
      <c r="I117" s="24" t="n"/>
      <c r="K117" s="3" t="n"/>
    </row>
    <row r="118">
      <c r="A118" s="25" t="inlineStr">
        <is>
          <t>No.</t>
        </is>
      </c>
      <c r="B118" s="25" t="inlineStr">
        <is>
          <t>Name</t>
        </is>
      </c>
      <c r="C118" s="25" t="inlineStr">
        <is>
          <t>Setting</t>
        </is>
      </c>
      <c r="D118" s="25" t="inlineStr">
        <is>
          <t>Rec. Def.</t>
        </is>
      </c>
      <c r="E118" s="25" t="inlineStr">
        <is>
          <t>Clear Def.</t>
        </is>
      </c>
      <c r="F118" s="25" t="inlineStr">
        <is>
          <t>Momochi</t>
        </is>
      </c>
      <c r="G118" s="25" t="inlineStr">
        <is>
          <t>Past Pyr.</t>
        </is>
      </c>
      <c r="H118" s="25" t="inlineStr">
        <is>
          <t>Huang</t>
        </is>
      </c>
      <c r="I118" s="25" t="inlineStr">
        <is>
          <t>Future Pyr.</t>
        </is>
      </c>
    </row>
    <row r="119">
      <c r="A119" s="7" t="n">
        <v>6</v>
      </c>
      <c r="B119" s="8" t="inlineStr">
        <is>
          <t>Battle of Kunyang</t>
        </is>
      </c>
      <c r="C119" s="8" t="inlineStr">
        <is>
          <t>AD 23</t>
        </is>
      </c>
      <c r="D119" s="7" t="n">
        <v>2710</v>
      </c>
      <c r="E119" s="7" t="n"/>
      <c r="F119" s="7" t="n"/>
      <c r="G119" s="7" t="inlineStr">
        <is>
          <t>X</t>
        </is>
      </c>
      <c r="H119" s="7" t="n"/>
      <c r="I119" s="7" t="inlineStr">
        <is>
          <t>X</t>
        </is>
      </c>
    </row>
    <row r="120">
      <c r="A120" s="7" t="n">
        <v>21</v>
      </c>
      <c r="B120" s="8" t="inlineStr">
        <is>
          <t>Battle of Stalingrad</t>
        </is>
      </c>
      <c r="C120" s="8" t="inlineStr">
        <is>
          <t>AD 1942</t>
        </is>
      </c>
      <c r="D120" s="7" t="n">
        <v>5421</v>
      </c>
      <c r="E120" s="7" t="n"/>
      <c r="F120" s="7" t="inlineStr">
        <is>
          <t>X</t>
        </is>
      </c>
      <c r="G120" s="7" t="inlineStr">
        <is>
          <t>X</t>
        </is>
      </c>
      <c r="H120" s="7" t="inlineStr">
        <is>
          <t>X</t>
        </is>
      </c>
      <c r="I120" s="7" t="n"/>
    </row>
    <row r="121">
      <c r="A121" s="7" t="n">
        <v>26</v>
      </c>
      <c r="B121" s="8" t="inlineStr">
        <is>
          <t>Battle of Vienna</t>
        </is>
      </c>
      <c r="C121" s="8" t="inlineStr">
        <is>
          <t>AD 1529</t>
        </is>
      </c>
      <c r="D121" s="7" t="n">
        <v>9888</v>
      </c>
      <c r="E121" s="7" t="n">
        <v>10000</v>
      </c>
      <c r="F121" s="7" t="inlineStr">
        <is>
          <t>X</t>
        </is>
      </c>
      <c r="G121" s="7" t="inlineStr">
        <is>
          <t>X</t>
        </is>
      </c>
      <c r="H121" s="7" t="inlineStr">
        <is>
          <t>X</t>
        </is>
      </c>
      <c r="I121" s="7" t="n"/>
    </row>
    <row r="122">
      <c r="A122" s="7" t="n">
        <v>47</v>
      </c>
      <c r="B122" s="8" t="inlineStr">
        <is>
          <t>Battle of Hongdu</t>
        </is>
      </c>
      <c r="C122" s="8" t="inlineStr">
        <is>
          <t>AD 1363</t>
        </is>
      </c>
      <c r="D122" s="7" t="n">
        <v>15496</v>
      </c>
      <c r="E122" s="7" t="n">
        <v>15000</v>
      </c>
      <c r="F122" s="7" t="inlineStr">
        <is>
          <t>X</t>
        </is>
      </c>
      <c r="G122" s="7" t="inlineStr">
        <is>
          <t>X</t>
        </is>
      </c>
      <c r="H122" s="7" t="inlineStr">
        <is>
          <t>X</t>
        </is>
      </c>
      <c r="I122" s="7" t="n"/>
    </row>
    <row r="123">
      <c r="A123" s="7" t="n">
        <v>51</v>
      </c>
      <c r="B123" s="8" t="inlineStr">
        <is>
          <t>Siege of Paris</t>
        </is>
      </c>
      <c r="C123" s="8" t="inlineStr">
        <is>
          <t>AD 885</t>
        </is>
      </c>
      <c r="D123" s="7" t="n">
        <v>18324</v>
      </c>
      <c r="E123" s="7" t="n">
        <v>16100</v>
      </c>
      <c r="F123" s="7" t="n">
        <v>20</v>
      </c>
      <c r="G123" s="7" t="n">
        <v>9</v>
      </c>
      <c r="H123" s="7" t="n">
        <v>9</v>
      </c>
      <c r="I123" s="7" t="n"/>
    </row>
    <row r="124">
      <c r="A124" s="7" t="n">
        <v>62</v>
      </c>
      <c r="B124" s="8" t="inlineStr">
        <is>
          <t>Battle of Yancheng</t>
        </is>
      </c>
      <c r="C124" s="8" t="inlineStr">
        <is>
          <t>AD 1139</t>
        </is>
      </c>
      <c r="D124" s="7" t="n">
        <v>18324</v>
      </c>
      <c r="E124" s="7" t="n">
        <v>19400</v>
      </c>
      <c r="F124" s="7" t="n">
        <v>23</v>
      </c>
      <c r="G124" s="7" t="n">
        <v>13</v>
      </c>
      <c r="H124" s="7" t="n">
        <v>11</v>
      </c>
      <c r="I124" s="7" t="n"/>
    </row>
    <row r="125">
      <c r="A125" s="7" t="n">
        <v>84</v>
      </c>
      <c r="B125" s="8" t="inlineStr">
        <is>
          <t>Battle of Handan</t>
        </is>
      </c>
      <c r="C125" s="8" t="inlineStr">
        <is>
          <t>BC 257</t>
        </is>
      </c>
      <c r="D125" s="7" t="n">
        <v>27328</v>
      </c>
      <c r="E125" s="7" t="n">
        <v>23000</v>
      </c>
      <c r="F125" s="7" t="n">
        <v>30</v>
      </c>
      <c r="G125" s="7" t="n">
        <v>16</v>
      </c>
      <c r="H125" s="7" t="n">
        <v>16</v>
      </c>
      <c r="I125" s="7" t="n"/>
    </row>
    <row r="126">
      <c r="A126" s="7" t="n">
        <v>90</v>
      </c>
      <c r="B126" s="8" t="inlineStr">
        <is>
          <t>Battle of Luoyang</t>
        </is>
      </c>
      <c r="C126" s="8" t="inlineStr">
        <is>
          <t>AD 564</t>
        </is>
      </c>
      <c r="D126" s="7" t="n">
        <v>30156</v>
      </c>
      <c r="E126" s="7" t="n">
        <v>25700</v>
      </c>
      <c r="F126" s="7" t="n">
        <v>30</v>
      </c>
      <c r="G126" s="7" t="n">
        <v>20</v>
      </c>
      <c r="H126" s="7" t="n">
        <v>20</v>
      </c>
      <c r="I126" s="7" t="n"/>
    </row>
    <row r="127">
      <c r="A127" s="7" t="n">
        <v>99</v>
      </c>
      <c r="B127" s="8" t="inlineStr">
        <is>
          <t>Siege of Odawara</t>
        </is>
      </c>
      <c r="C127" s="8" t="inlineStr">
        <is>
          <t>AD 1569</t>
        </is>
      </c>
      <c r="D127" s="7" t="n">
        <v>32983</v>
      </c>
      <c r="E127" s="7" t="n">
        <v>27300</v>
      </c>
      <c r="F127" s="7" t="n">
        <v>38</v>
      </c>
      <c r="G127" s="7" t="n">
        <v>20</v>
      </c>
      <c r="H127" s="7" t="n">
        <v>20</v>
      </c>
      <c r="I127" s="7" t="n"/>
    </row>
    <row r="128">
      <c r="A128" s="7" t="n">
        <v>110</v>
      </c>
      <c r="B128" s="8" t="inlineStr">
        <is>
          <t>Battle of Thermopylae</t>
        </is>
      </c>
      <c r="C128" s="8" t="inlineStr">
        <is>
          <t>BC 480</t>
        </is>
      </c>
      <c r="D128" s="7" t="n">
        <v>36648</v>
      </c>
      <c r="E128" s="7" t="n">
        <v>29200</v>
      </c>
      <c r="F128" s="7" t="inlineStr">
        <is>
          <t>X</t>
        </is>
      </c>
      <c r="G128" s="7" t="inlineStr">
        <is>
          <t>X</t>
        </is>
      </c>
      <c r="H128" s="7" t="inlineStr">
        <is>
          <t>X</t>
        </is>
      </c>
      <c r="I128" s="7" t="n"/>
    </row>
    <row r="129">
      <c r="A129" s="7" t="n">
        <v>124</v>
      </c>
      <c r="B129" s="8" t="inlineStr">
        <is>
          <t>Capital Defense</t>
        </is>
      </c>
      <c r="C129" s="8" t="inlineStr">
        <is>
          <t>AD 1449</t>
        </is>
      </c>
      <c r="D129" s="7" t="n">
        <v>39475</v>
      </c>
      <c r="E129" s="7" t="n">
        <v>34600</v>
      </c>
      <c r="F129" s="7" t="n">
        <v>30</v>
      </c>
      <c r="G129" s="7" t="n">
        <v>31</v>
      </c>
      <c r="H129" s="7" t="n">
        <v>30</v>
      </c>
      <c r="I129" s="7" t="n"/>
      <c r="J129" s="3" t="inlineStr">
        <is>
          <t>SYT Clear</t>
        </is>
      </c>
    </row>
    <row r="130">
      <c r="A130" s="7" t="n">
        <v>134</v>
      </c>
      <c r="B130" s="8" t="inlineStr">
        <is>
          <t>Izu Peninsula Battle</t>
        </is>
      </c>
      <c r="C130" s="8" t="inlineStr">
        <is>
          <t>AD 1581</t>
        </is>
      </c>
      <c r="D130" s="7" t="n">
        <v>41150</v>
      </c>
      <c r="E130" s="7" t="n">
        <v>37500</v>
      </c>
      <c r="F130" s="7" t="n">
        <v>42</v>
      </c>
      <c r="G130" s="7" t="n">
        <v>35</v>
      </c>
      <c r="H130" s="7" t="n">
        <v>30</v>
      </c>
      <c r="I130" s="7" t="n"/>
    </row>
    <row r="131">
      <c r="A131" s="7" t="n">
        <v>143</v>
      </c>
      <c r="B131" s="20" t="inlineStr">
        <is>
          <t>Hefei Campaign</t>
        </is>
      </c>
      <c r="C131" s="8" t="inlineStr">
        <is>
          <t>AD 215</t>
        </is>
      </c>
      <c r="D131" s="7" t="n">
        <v>43977</v>
      </c>
      <c r="E131" s="7" t="n">
        <v>37820</v>
      </c>
      <c r="F131" s="7" t="n">
        <v>35</v>
      </c>
      <c r="G131" s="7" t="n">
        <v>30</v>
      </c>
      <c r="H131" s="7" t="n">
        <v>30</v>
      </c>
      <c r="I131" s="7" t="n"/>
      <c r="J131" s="3" t="inlineStr">
        <is>
          <t>Self Clear</t>
        </is>
      </c>
    </row>
    <row r="132">
      <c r="A132" s="7" t="n">
        <v>146</v>
      </c>
      <c r="B132" s="8" t="inlineStr">
        <is>
          <t>Siege of Miletus</t>
        </is>
      </c>
      <c r="C132" s="8" t="inlineStr">
        <is>
          <t>BC 334</t>
        </is>
      </c>
      <c r="D132" s="7" t="n">
        <v>45652</v>
      </c>
      <c r="E132" s="7">
        <f>13800+11940+12080</f>
        <v/>
      </c>
      <c r="F132" s="7" t="n">
        <v>35</v>
      </c>
      <c r="G132" s="7" t="n">
        <v>30</v>
      </c>
      <c r="H132" s="7" t="n">
        <v>30</v>
      </c>
      <c r="I132" s="7" t="n"/>
      <c r="J132" s="3" t="inlineStr">
        <is>
          <t>Self Clear</t>
        </is>
      </c>
    </row>
    <row r="133">
      <c r="A133" s="7" t="n">
        <v>166</v>
      </c>
      <c r="B133" s="8" t="inlineStr">
        <is>
          <t>Defense of Pskov</t>
        </is>
      </c>
      <c r="C133" s="8" t="inlineStr">
        <is>
          <t>AD 1581</t>
        </is>
      </c>
      <c r="D133" s="7" t="n">
        <v>48480</v>
      </c>
      <c r="E133" s="7" t="n">
        <v>40800</v>
      </c>
      <c r="F133" s="7" t="n">
        <v>45</v>
      </c>
      <c r="G133" s="7" t="n">
        <v>30</v>
      </c>
      <c r="H133" s="7" t="n">
        <v>30</v>
      </c>
      <c r="I133" s="7" t="n"/>
      <c r="J133" s="3" t="inlineStr">
        <is>
          <t>Self Clear</t>
        </is>
      </c>
    </row>
    <row r="134">
      <c r="A134" s="7" t="n">
        <v>173</v>
      </c>
      <c r="B134" s="8" t="inlineStr">
        <is>
          <t>Battle of Iwaya Castle</t>
        </is>
      </c>
      <c r="C134" s="8" t="inlineStr">
        <is>
          <t>AD 1584</t>
        </is>
      </c>
      <c r="D134" s="7" t="n">
        <v>50155</v>
      </c>
      <c r="E134" s="7" t="n">
        <v>42800</v>
      </c>
      <c r="F134" s="7" t="n">
        <v>49</v>
      </c>
      <c r="G134" s="7" t="n">
        <v>40</v>
      </c>
      <c r="H134" s="7" t="n">
        <v>35</v>
      </c>
      <c r="I134" s="7" t="n"/>
    </row>
    <row r="135">
      <c r="A135" s="7" t="n">
        <v>185</v>
      </c>
      <c r="B135" s="8" t="inlineStr">
        <is>
          <t>Defense of Suiyang</t>
        </is>
      </c>
      <c r="C135" s="8" t="inlineStr">
        <is>
          <t>AD 756</t>
        </is>
      </c>
      <c r="D135" s="7" t="n">
        <v>52982</v>
      </c>
      <c r="E135" s="7" t="n">
        <v>41200</v>
      </c>
      <c r="F135" s="7" t="n">
        <v>40</v>
      </c>
      <c r="G135" s="7" t="n">
        <v>37</v>
      </c>
      <c r="H135" s="7" t="n">
        <v>31</v>
      </c>
      <c r="I135" s="7" t="n"/>
      <c r="J135" s="3" t="inlineStr">
        <is>
          <t>SYT Clear</t>
        </is>
      </c>
    </row>
    <row r="136">
      <c r="A136" s="7" t="n">
        <v>200</v>
      </c>
      <c r="B136" s="8" t="inlineStr">
        <is>
          <t>The Great Wall Battle</t>
        </is>
      </c>
      <c r="C136" s="8" t="inlineStr">
        <is>
          <t>BC 3664</t>
        </is>
      </c>
      <c r="D136" s="7" t="n">
        <v>55809</v>
      </c>
      <c r="E136" s="7" t="n">
        <v>46000</v>
      </c>
      <c r="F136" s="7" t="n">
        <v>49</v>
      </c>
      <c r="G136" s="7" t="n">
        <v>41</v>
      </c>
      <c r="H136" s="7" t="n">
        <v>30</v>
      </c>
      <c r="I136" s="7" t="n"/>
      <c r="J136" s="3" t="inlineStr">
        <is>
          <t>Self Clear</t>
        </is>
      </c>
    </row>
    <row r="137">
      <c r="A137" s="7" t="n">
        <v>215</v>
      </c>
      <c r="B137" s="8" t="inlineStr">
        <is>
          <t>Defense of Bianjing</t>
        </is>
      </c>
      <c r="C137" s="8" t="inlineStr">
        <is>
          <t>AD 1232</t>
        </is>
      </c>
      <c r="D137" s="7" t="n">
        <v>58636</v>
      </c>
      <c r="E137" s="7" t="n">
        <v>48400</v>
      </c>
      <c r="F137" s="7" t="n">
        <v>53</v>
      </c>
      <c r="G137" s="7" t="n">
        <v>44</v>
      </c>
      <c r="H137" s="7" t="n">
        <v>30</v>
      </c>
      <c r="I137" s="7" t="n"/>
      <c r="J137" s="3" t="inlineStr">
        <is>
          <t>Self Clear</t>
        </is>
      </c>
    </row>
    <row r="138">
      <c r="A138" s="7" t="n">
        <v>222</v>
      </c>
      <c r="B138" s="8" t="inlineStr">
        <is>
          <t>Siege of Belgrade</t>
        </is>
      </c>
      <c r="C138" s="8" t="inlineStr">
        <is>
          <t>AD 1455</t>
        </is>
      </c>
      <c r="D138" s="7" t="n">
        <v>61464</v>
      </c>
      <c r="E138" s="7" t="n">
        <v>48800</v>
      </c>
      <c r="F138" s="7" t="n">
        <v>53</v>
      </c>
      <c r="G138" s="7" t="n">
        <v>45</v>
      </c>
      <c r="H138" s="7" t="n">
        <v>31</v>
      </c>
      <c r="I138" s="7" t="n"/>
      <c r="J138" s="3" t="inlineStr">
        <is>
          <t>SYT Clear</t>
        </is>
      </c>
    </row>
    <row r="139">
      <c r="A139" s="7" t="n">
        <v>228</v>
      </c>
      <c r="B139" s="8" t="inlineStr">
        <is>
          <t>Siege of Diaoyu Castle</t>
        </is>
      </c>
      <c r="C139" s="8" t="inlineStr">
        <is>
          <t>AD 1259</t>
        </is>
      </c>
      <c r="D139" s="7" t="n">
        <v>64291</v>
      </c>
      <c r="E139" s="7" t="n">
        <v>53012</v>
      </c>
      <c r="F139" s="7" t="n">
        <v>60</v>
      </c>
      <c r="G139" s="7" t="n">
        <v>51</v>
      </c>
      <c r="H139" s="7" t="n">
        <v>36</v>
      </c>
      <c r="I139" s="7" t="n"/>
      <c r="J139" s="3" t="inlineStr">
        <is>
          <t>Self Clear</t>
        </is>
      </c>
    </row>
    <row r="140">
      <c r="A140" s="7" t="n">
        <v>234</v>
      </c>
      <c r="B140" s="8" t="inlineStr">
        <is>
          <t>The Third Impact</t>
        </is>
      </c>
      <c r="C140" s="8" t="inlineStr">
        <is>
          <t>AD 2016</t>
        </is>
      </c>
      <c r="D140" s="7" t="n">
        <v>67118</v>
      </c>
      <c r="E140" s="7" t="n">
        <v>54770</v>
      </c>
      <c r="F140" s="7" t="n">
        <v>60</v>
      </c>
      <c r="G140" s="7" t="n">
        <v>53</v>
      </c>
      <c r="H140" s="7" t="n">
        <v>41</v>
      </c>
      <c r="I140" s="7" t="n"/>
      <c r="J140" s="3" t="inlineStr">
        <is>
          <t>Self Clear</t>
        </is>
      </c>
    </row>
    <row r="141"/>
    <row r="142"/>
    <row r="143"/>
    <row r="144">
      <c r="A144" s="13" t="inlineStr">
        <is>
          <t>Dharma (Bharata)</t>
        </is>
      </c>
      <c r="B144" s="14" t="n"/>
      <c r="C144" s="14" t="n"/>
      <c r="D144" s="14" t="n"/>
      <c r="E144" s="14" t="n"/>
      <c r="F144" s="14" t="n"/>
      <c r="G144" s="14" t="n"/>
      <c r="H144" s="14" t="n"/>
      <c r="I144" s="14" t="n"/>
      <c r="J144" s="14" t="n"/>
      <c r="K144" s="19" t="n"/>
      <c r="L144" s="3" t="n"/>
      <c r="M144" s="3" t="n"/>
    </row>
    <row r="145">
      <c r="A145" s="16" t="inlineStr">
        <is>
          <t>No.</t>
        </is>
      </c>
      <c r="B145" s="16" t="inlineStr">
        <is>
          <t>Name</t>
        </is>
      </c>
      <c r="C145" s="16" t="inlineStr">
        <is>
          <t>Setting</t>
        </is>
      </c>
      <c r="D145" s="16" t="inlineStr">
        <is>
          <t>Rec. Dhar.</t>
        </is>
      </c>
      <c r="E145" s="16" t="inlineStr">
        <is>
          <t>Clear Dhar.</t>
        </is>
      </c>
      <c r="F145" s="16" t="inlineStr">
        <is>
          <t>Enemies</t>
        </is>
      </c>
      <c r="G145" s="16" t="inlineStr">
        <is>
          <t>Hitman</t>
        </is>
      </c>
      <c r="H145" s="16" t="inlineStr">
        <is>
          <t>Sanzang</t>
        </is>
      </c>
      <c r="I145" s="16" t="inlineStr">
        <is>
          <t>Dragon Horse</t>
        </is>
      </c>
      <c r="J145" s="16" t="inlineStr">
        <is>
          <t>Poisoner</t>
        </is>
      </c>
      <c r="K145" s="16" t="inlineStr">
        <is>
          <t>Mad Abe</t>
        </is>
      </c>
      <c r="L145" s="3" t="n"/>
      <c r="M145" s="3" t="n"/>
    </row>
    <row r="146">
      <c r="A146" s="7" t="n">
        <v>7</v>
      </c>
      <c r="B146" s="8" t="inlineStr">
        <is>
          <t>Yellow Turban Arises</t>
        </is>
      </c>
      <c r="C146" s="8" t="inlineStr">
        <is>
          <t>AD 184</t>
        </is>
      </c>
      <c r="D146" s="7" t="n">
        <v>2433</v>
      </c>
      <c r="E146" s="7" t="n"/>
      <c r="F146" s="7" t="n">
        <v>3</v>
      </c>
      <c r="G146" s="7" t="n"/>
      <c r="H146" s="7" t="n"/>
      <c r="I146" s="7" t="n"/>
      <c r="J146" s="7" t="n"/>
      <c r="K146" s="7" t="n"/>
      <c r="L146" s="3" t="n"/>
      <c r="M146" s="3" t="n"/>
    </row>
    <row r="147">
      <c r="A147" s="7" t="n">
        <v>19</v>
      </c>
      <c r="B147" s="8" t="inlineStr">
        <is>
          <t>Battle of Muye</t>
        </is>
      </c>
      <c r="C147" s="8" t="inlineStr">
        <is>
          <t>BC 1046</t>
        </is>
      </c>
      <c r="D147" s="7" t="n">
        <v>5308</v>
      </c>
      <c r="E147" s="7" t="n">
        <v>6300</v>
      </c>
      <c r="F147" s="7" t="n">
        <v>3</v>
      </c>
      <c r="G147" s="7" t="n"/>
      <c r="H147" s="7" t="n"/>
      <c r="I147" s="7" t="n"/>
      <c r="J147" s="7" t="n"/>
      <c r="K147" s="7" t="n"/>
      <c r="L147" s="3" t="n"/>
      <c r="M147" s="3" t="n"/>
    </row>
    <row r="148">
      <c r="A148" s="7" t="n">
        <v>22</v>
      </c>
      <c r="B148" s="8" t="inlineStr">
        <is>
          <t>The Ghost Hunt</t>
        </is>
      </c>
      <c r="C148" s="8" t="inlineStr">
        <is>
          <t>AD 698</t>
        </is>
      </c>
      <c r="D148" s="7" t="n">
        <v>6067</v>
      </c>
      <c r="E148" s="7" t="n">
        <v>6500</v>
      </c>
      <c r="F148" s="7" t="n">
        <v>1</v>
      </c>
      <c r="G148" s="7" t="n"/>
      <c r="H148" s="7" t="n"/>
      <c r="I148" s="7" t="n"/>
      <c r="J148" s="7" t="inlineStr">
        <is>
          <t>X</t>
        </is>
      </c>
      <c r="K148" s="7" t="n"/>
      <c r="L148" s="3" t="n"/>
      <c r="M148" s="3" t="n"/>
    </row>
    <row r="149">
      <c r="A149" s="7" t="n">
        <v>27</v>
      </c>
      <c r="B149" s="8" t="inlineStr">
        <is>
          <t>Ghost &amp; Student</t>
        </is>
      </c>
      <c r="C149" s="8" t="inlineStr">
        <is>
          <t>AD 1365</t>
        </is>
      </c>
      <c r="D149" s="7" t="n">
        <v>9474</v>
      </c>
      <c r="E149" s="7" t="n">
        <v>9600</v>
      </c>
      <c r="F149" s="7" t="n">
        <v>2</v>
      </c>
      <c r="G149" s="7" t="inlineStr">
        <is>
          <t>X</t>
        </is>
      </c>
      <c r="H149" s="7" t="n"/>
      <c r="I149" s="7" t="n"/>
      <c r="J149" s="7" t="inlineStr">
        <is>
          <t>X</t>
        </is>
      </c>
      <c r="K149" s="7" t="inlineStr">
        <is>
          <t>X</t>
        </is>
      </c>
      <c r="L149" s="3" t="n"/>
      <c r="M149" s="3" t="n"/>
    </row>
    <row r="150">
      <c r="A150" s="7" t="n">
        <v>43</v>
      </c>
      <c r="B150" s="8" t="inlineStr">
        <is>
          <t>The Battle of Zhuolu</t>
        </is>
      </c>
      <c r="C150" s="8" t="inlineStr">
        <is>
          <t>BC 2600</t>
        </is>
      </c>
      <c r="D150" s="7" t="n">
        <v>16202</v>
      </c>
      <c r="E150" s="7" t="n">
        <v>15200</v>
      </c>
      <c r="F150" s="7" t="n">
        <v>3</v>
      </c>
      <c r="G150" s="7" t="inlineStr">
        <is>
          <t>X</t>
        </is>
      </c>
      <c r="H150" s="7" t="n"/>
      <c r="I150" s="7" t="n"/>
      <c r="J150" s="7" t="inlineStr">
        <is>
          <t>X</t>
        </is>
      </c>
      <c r="K150" s="7" t="inlineStr">
        <is>
          <t>X</t>
        </is>
      </c>
      <c r="L150" s="3" t="n"/>
      <c r="M150" s="3" t="n"/>
    </row>
    <row r="151">
      <c r="A151" s="7" t="n">
        <v>48</v>
      </c>
      <c r="B151" s="8" t="inlineStr">
        <is>
          <t>Ruler of Demon Realm</t>
        </is>
      </c>
      <c r="C151" s="8" t="inlineStr">
        <is>
          <t>AD 367</t>
        </is>
      </c>
      <c r="D151" s="7" t="n">
        <v>17442</v>
      </c>
      <c r="E151" s="7" t="n">
        <v>16400</v>
      </c>
      <c r="F151" s="7" t="n">
        <v>1</v>
      </c>
      <c r="G151" s="7" t="inlineStr">
        <is>
          <t>X</t>
        </is>
      </c>
      <c r="H151" s="7" t="inlineStr">
        <is>
          <t>X</t>
        </is>
      </c>
      <c r="I151" s="7" t="inlineStr">
        <is>
          <t>X</t>
        </is>
      </c>
      <c r="J151" s="7" t="inlineStr">
        <is>
          <t>X</t>
        </is>
      </c>
      <c r="K151" s="7" t="n"/>
      <c r="L151" s="3" t="n"/>
      <c r="M151" s="3" t="n"/>
    </row>
    <row r="152">
      <c r="A152" s="7" t="n">
        <v>56</v>
      </c>
      <c r="B152" s="8" t="inlineStr">
        <is>
          <t>Nezha vs. Dragon King</t>
        </is>
      </c>
      <c r="C152" s="8" t="inlineStr">
        <is>
          <t>BC 1052</t>
        </is>
      </c>
      <c r="D152" s="7" t="n">
        <v>20451</v>
      </c>
      <c r="E152" s="7" t="n">
        <v>19000</v>
      </c>
      <c r="F152" s="7" t="n">
        <v>3</v>
      </c>
      <c r="G152" s="7" t="inlineStr">
        <is>
          <t>X</t>
        </is>
      </c>
      <c r="H152" s="7" t="inlineStr">
        <is>
          <t>X</t>
        </is>
      </c>
      <c r="I152" s="7" t="inlineStr">
        <is>
          <t>X</t>
        </is>
      </c>
      <c r="J152" s="7" t="inlineStr">
        <is>
          <t>X</t>
        </is>
      </c>
      <c r="K152" s="7" t="n"/>
      <c r="L152" s="3" t="n"/>
      <c r="M152" s="3" t="n"/>
    </row>
    <row r="153">
      <c r="A153" s="7" t="n">
        <v>66</v>
      </c>
      <c r="B153" s="8" t="inlineStr">
        <is>
          <t>Taming the Flood</t>
        </is>
      </c>
      <c r="C153" s="8" t="inlineStr">
        <is>
          <t>BC 2064</t>
        </is>
      </c>
      <c r="D153" s="7" t="n">
        <v>24001</v>
      </c>
      <c r="E153" s="7" t="n">
        <v>22200</v>
      </c>
      <c r="F153" s="7" t="n">
        <v>2</v>
      </c>
      <c r="G153" s="7" t="inlineStr">
        <is>
          <t>X</t>
        </is>
      </c>
      <c r="H153" s="7" t="inlineStr">
        <is>
          <t>X</t>
        </is>
      </c>
      <c r="I153" s="7" t="inlineStr">
        <is>
          <t>X</t>
        </is>
      </c>
      <c r="J153" s="7" t="inlineStr">
        <is>
          <t>X</t>
        </is>
      </c>
      <c r="K153" s="7" t="n"/>
      <c r="L153" s="3" t="n"/>
      <c r="M153" s="3" t="n"/>
    </row>
    <row r="154">
      <c r="A154" s="7" t="n">
        <v>71</v>
      </c>
      <c r="B154" s="8" t="inlineStr">
        <is>
          <t>Gate of Void</t>
        </is>
      </c>
      <c r="C154" s="8" t="inlineStr">
        <is>
          <t>AD 964</t>
        </is>
      </c>
      <c r="D154" s="7" t="n">
        <v>25500</v>
      </c>
      <c r="E154" s="7" t="n">
        <v>23500</v>
      </c>
      <c r="F154" s="7" t="n">
        <v>3</v>
      </c>
      <c r="G154" s="7" t="inlineStr">
        <is>
          <t>X</t>
        </is>
      </c>
      <c r="H154" s="7" t="inlineStr">
        <is>
          <t>X</t>
        </is>
      </c>
      <c r="I154" s="7" t="inlineStr">
        <is>
          <t>X</t>
        </is>
      </c>
      <c r="J154" s="7" t="inlineStr">
        <is>
          <t>X</t>
        </is>
      </c>
      <c r="K154" s="7" t="n"/>
      <c r="L154" s="3" t="n"/>
      <c r="M154" s="3" t="n"/>
    </row>
    <row r="155">
      <c r="A155" s="7" t="n">
        <v>83</v>
      </c>
      <c r="B155" s="8" t="inlineStr">
        <is>
          <t>Yellow River Array</t>
        </is>
      </c>
      <c r="C155" s="8" t="inlineStr">
        <is>
          <t>BC 1046</t>
        </is>
      </c>
      <c r="D155" s="7" t="n">
        <v>34960</v>
      </c>
      <c r="E155" s="7" t="n">
        <v>30100</v>
      </c>
      <c r="F155" s="7" t="n">
        <v>3</v>
      </c>
      <c r="G155" s="7" t="inlineStr">
        <is>
          <t>X</t>
        </is>
      </c>
      <c r="H155" s="7" t="inlineStr">
        <is>
          <t>X</t>
        </is>
      </c>
      <c r="I155" s="7" t="inlineStr">
        <is>
          <t>X</t>
        </is>
      </c>
      <c r="J155" s="7" t="inlineStr">
        <is>
          <t>X</t>
        </is>
      </c>
      <c r="K155" s="7" t="n"/>
      <c r="L155" s="3" t="n"/>
      <c r="M155" s="3" t="n"/>
    </row>
    <row r="156">
      <c r="A156" s="7" t="n">
        <v>92</v>
      </c>
      <c r="B156" s="8" t="inlineStr">
        <is>
          <t>Immortal Slayer Array</t>
        </is>
      </c>
      <c r="C156" s="8" t="inlineStr">
        <is>
          <t>BC 1046</t>
        </is>
      </c>
      <c r="D156" s="7" t="n">
        <v>39030</v>
      </c>
      <c r="E156" s="7" t="n">
        <v>36700</v>
      </c>
      <c r="F156" s="7" t="n">
        <v>3</v>
      </c>
      <c r="G156" s="7" t="inlineStr">
        <is>
          <t>X</t>
        </is>
      </c>
      <c r="H156" s="7" t="inlineStr">
        <is>
          <t>X</t>
        </is>
      </c>
      <c r="I156" s="7" t="inlineStr">
        <is>
          <t>X</t>
        </is>
      </c>
      <c r="J156" s="7" t="inlineStr">
        <is>
          <t>X</t>
        </is>
      </c>
      <c r="K156" s="7" t="n"/>
      <c r="L156" s="3" t="n"/>
      <c r="M156" s="3" t="n"/>
    </row>
    <row r="157">
      <c r="A157" s="7" t="n">
        <v>93</v>
      </c>
      <c r="B157" s="8" t="inlineStr">
        <is>
          <t>Mayhem Maker</t>
        </is>
      </c>
      <c r="C157" s="8" t="inlineStr">
        <is>
          <t>AD 25</t>
        </is>
      </c>
      <c r="D157" s="7" t="n">
        <v>39527</v>
      </c>
      <c r="E157" s="7" t="n">
        <v>36700</v>
      </c>
      <c r="F157" s="7" t="n">
        <v>3</v>
      </c>
      <c r="G157" s="7" t="inlineStr">
        <is>
          <t>X</t>
        </is>
      </c>
      <c r="H157" s="7" t="inlineStr">
        <is>
          <t>X</t>
        </is>
      </c>
      <c r="I157" s="7" t="inlineStr">
        <is>
          <t>X</t>
        </is>
      </c>
      <c r="J157" s="7" t="inlineStr">
        <is>
          <t>X</t>
        </is>
      </c>
      <c r="K157" s="7" t="n"/>
      <c r="L157" s="3" t="n"/>
      <c r="M157" s="3" t="n"/>
    </row>
    <row r="158">
      <c r="A158" s="7" t="n">
        <v>100</v>
      </c>
      <c r="B158" s="20" t="inlineStr">
        <is>
          <t>Laozi's Trilocation</t>
        </is>
      </c>
      <c r="C158" s="8" t="inlineStr">
        <is>
          <t>BC 2046</t>
        </is>
      </c>
      <c r="D158" s="7" t="n">
        <v>42633</v>
      </c>
      <c r="E158" s="7" t="n">
        <v>38300</v>
      </c>
      <c r="F158" s="7" t="n">
        <v>3</v>
      </c>
      <c r="G158" s="7" t="inlineStr">
        <is>
          <t>X</t>
        </is>
      </c>
      <c r="H158" s="7" t="inlineStr">
        <is>
          <t>X</t>
        </is>
      </c>
      <c r="I158" s="7" t="inlineStr">
        <is>
          <t>X</t>
        </is>
      </c>
      <c r="J158" s="7" t="inlineStr">
        <is>
          <t>X</t>
        </is>
      </c>
      <c r="K158" s="7" t="n"/>
      <c r="L158" s="3" t="n"/>
      <c r="M158" s="3" t="n"/>
    </row>
    <row r="159">
      <c r="A159" s="7" t="n">
        <v>118</v>
      </c>
      <c r="B159" s="8" t="inlineStr">
        <is>
          <t>Hitting Mount Buzhou</t>
        </is>
      </c>
      <c r="C159" s="8" t="inlineStr">
        <is>
          <t>BC 3165</t>
        </is>
      </c>
      <c r="D159" s="7" t="n">
        <v>49307</v>
      </c>
      <c r="E159" s="7" t="n">
        <v>39300</v>
      </c>
      <c r="F159" s="7" t="n">
        <v>1</v>
      </c>
      <c r="G159" s="7" t="inlineStr">
        <is>
          <t>X</t>
        </is>
      </c>
      <c r="H159" s="7" t="inlineStr">
        <is>
          <t>X</t>
        </is>
      </c>
      <c r="I159" s="7" t="inlineStr">
        <is>
          <t>X</t>
        </is>
      </c>
      <c r="J159" s="7" t="inlineStr">
        <is>
          <t>X</t>
        </is>
      </c>
      <c r="K159" s="7" t="n"/>
      <c r="L159" s="3" t="n"/>
      <c r="M159" s="3" t="n"/>
    </row>
    <row r="160">
      <c r="A160" s="7" t="n">
        <v>119</v>
      </c>
      <c r="B160" s="8" t="inlineStr">
        <is>
          <t>Buddha-Demon Battle</t>
        </is>
      </c>
      <c r="C160" s="8" t="inlineStr">
        <is>
          <t>BC 583</t>
        </is>
      </c>
      <c r="D160" s="7" t="n">
        <v>49644</v>
      </c>
      <c r="E160" s="7" t="n">
        <v>42800</v>
      </c>
      <c r="F160" s="7" t="n">
        <v>3</v>
      </c>
      <c r="G160" s="7" t="inlineStr">
        <is>
          <t>X</t>
        </is>
      </c>
      <c r="H160" s="7" t="inlineStr">
        <is>
          <t>X</t>
        </is>
      </c>
      <c r="I160" s="7" t="inlineStr">
        <is>
          <t>X</t>
        </is>
      </c>
      <c r="J160" s="7" t="inlineStr">
        <is>
          <t>X</t>
        </is>
      </c>
      <c r="K160" s="7" t="n"/>
      <c r="L160" s="3" t="n"/>
      <c r="M160" s="3" t="n"/>
    </row>
    <row r="161">
      <c r="A161" s="7" t="n">
        <v>128</v>
      </c>
      <c r="B161" s="8" t="inlineStr">
        <is>
          <t>Ragnarok</t>
        </is>
      </c>
      <c r="C161" s="8" t="inlineStr">
        <is>
          <t>AD 691</t>
        </is>
      </c>
      <c r="D161" s="7" t="n">
        <v>55849</v>
      </c>
      <c r="E161" s="7" t="n">
        <v>39800</v>
      </c>
      <c r="F161" s="7" t="n">
        <v>3</v>
      </c>
      <c r="G161" s="7" t="n">
        <v>30</v>
      </c>
      <c r="H161" s="7" t="n">
        <v>30</v>
      </c>
      <c r="I161" s="7" t="n">
        <v>31</v>
      </c>
      <c r="J161" s="7" t="n">
        <v>29</v>
      </c>
      <c r="K161" s="7" t="n"/>
      <c r="L161" s="3" t="n"/>
      <c r="M161" s="3" t="inlineStr">
        <is>
          <t>Pajamapantsdan Clear</t>
        </is>
      </c>
    </row>
    <row r="162">
      <c r="A162" s="7" t="n">
        <v>140</v>
      </c>
      <c r="B162" s="8" t="inlineStr">
        <is>
          <t>Mythical Beast</t>
        </is>
      </c>
      <c r="C162" s="8" t="inlineStr">
        <is>
          <t>BC 2153</t>
        </is>
      </c>
      <c r="D162" s="7" t="n">
        <v>62055</v>
      </c>
      <c r="E162" s="7" t="n">
        <v>48708</v>
      </c>
      <c r="F162" s="7" t="n">
        <v>3</v>
      </c>
      <c r="G162" s="7" t="n">
        <v>40</v>
      </c>
      <c r="H162" s="7" t="n">
        <v>31</v>
      </c>
      <c r="I162" s="7" t="n">
        <v>35</v>
      </c>
      <c r="J162" s="7" t="n">
        <v>38</v>
      </c>
      <c r="K162" s="7" t="n"/>
      <c r="L162" s="3" t="n"/>
      <c r="M162" s="3" t="inlineStr">
        <is>
          <t>Throne Clear</t>
        </is>
      </c>
    </row>
    <row r="163">
      <c r="A163" s="7" t="n">
        <v>154</v>
      </c>
      <c r="B163" s="8" t="inlineStr">
        <is>
          <t>Arhat</t>
        </is>
      </c>
      <c r="C163" s="8" t="inlineStr">
        <is>
          <t>BC 736</t>
        </is>
      </c>
      <c r="D163" s="7" t="n">
        <v>68260</v>
      </c>
      <c r="E163" s="7" t="n">
        <v>49700</v>
      </c>
      <c r="F163" s="7" t="n">
        <v>3</v>
      </c>
      <c r="G163" s="7" t="n">
        <v>41</v>
      </c>
      <c r="H163" s="7" t="n">
        <v>36</v>
      </c>
      <c r="I163" s="7" t="n">
        <v>36</v>
      </c>
      <c r="J163" s="7" t="n">
        <v>40</v>
      </c>
      <c r="K163" s="7" t="n"/>
      <c r="L163" s="3" t="n"/>
      <c r="M163" s="3" t="inlineStr">
        <is>
          <t>Self Clear</t>
        </is>
      </c>
    </row>
    <row r="164">
      <c r="A164" s="7" t="n">
        <v>171</v>
      </c>
      <c r="B164" s="8" t="inlineStr">
        <is>
          <t>Buddha Jih's Descent</t>
        </is>
      </c>
      <c r="C164" s="8" t="inlineStr">
        <is>
          <t>AD 1156</t>
        </is>
      </c>
      <c r="D164" s="7" t="n">
        <v>74466</v>
      </c>
      <c r="E164" s="7" t="n">
        <v>49700</v>
      </c>
      <c r="F164" s="7" t="n">
        <v>3</v>
      </c>
      <c r="G164" s="7" t="n">
        <v>45</v>
      </c>
      <c r="H164" s="7" t="n">
        <v>36</v>
      </c>
      <c r="I164" s="7" t="n">
        <v>37</v>
      </c>
      <c r="J164" s="7" t="n">
        <v>40</v>
      </c>
      <c r="K164" s="7" t="n"/>
      <c r="L164" s="3" t="n"/>
      <c r="M164" s="3" t="inlineStr">
        <is>
          <t>SYT Clear</t>
        </is>
      </c>
    </row>
    <row r="165">
      <c r="A165" s="7" t="n">
        <v>187</v>
      </c>
      <c r="B165" s="8" t="inlineStr">
        <is>
          <t>Eternity War</t>
        </is>
      </c>
      <c r="C165" s="8" t="inlineStr">
        <is>
          <t>BC 444</t>
        </is>
      </c>
      <c r="D165" s="7" t="n">
        <v>80671</v>
      </c>
      <c r="E165" s="7" t="n">
        <v>57700</v>
      </c>
      <c r="F165" s="7" t="n">
        <v>3</v>
      </c>
      <c r="G165" s="7" t="n">
        <v>49</v>
      </c>
      <c r="H165" s="7" t="n">
        <v>39</v>
      </c>
      <c r="I165" s="7" t="n">
        <v>40</v>
      </c>
      <c r="J165" s="7" t="n">
        <v>47</v>
      </c>
      <c r="K165" s="7" t="n"/>
      <c r="L165" s="3" t="n"/>
      <c r="M165" s="3" t="inlineStr">
        <is>
          <t>Self Clear</t>
        </is>
      </c>
    </row>
    <row r="166">
      <c r="A166" s="7" t="n">
        <v>198</v>
      </c>
      <c r="B166" s="8" t="inlineStr">
        <is>
          <t>Fire and Water Beasts</t>
        </is>
      </c>
      <c r="C166" s="8" t="inlineStr">
        <is>
          <t>BC 2354</t>
        </is>
      </c>
      <c r="D166" s="7" t="n">
        <v>80671</v>
      </c>
      <c r="E166" s="7" t="n">
        <v>60300</v>
      </c>
      <c r="F166" s="7" t="n">
        <v>1</v>
      </c>
      <c r="G166" s="7" t="n">
        <v>50</v>
      </c>
      <c r="H166" s="7" t="n">
        <v>42</v>
      </c>
      <c r="I166" s="7" t="n">
        <v>42</v>
      </c>
      <c r="J166" s="7" t="n">
        <v>47</v>
      </c>
      <c r="K166" s="7" t="n"/>
      <c r="L166" s="3" t="n"/>
      <c r="M166" s="3" t="n"/>
    </row>
    <row r="167">
      <c r="A167" s="7" t="n">
        <v>223</v>
      </c>
      <c r="B167" s="8" t="inlineStr">
        <is>
          <t>Dream Eater</t>
        </is>
      </c>
      <c r="C167" s="8" t="inlineStr">
        <is>
          <t>BC 2946</t>
        </is>
      </c>
      <c r="D167" s="7" t="n">
        <v>93082</v>
      </c>
      <c r="E167" s="7" t="n">
        <v>69700</v>
      </c>
      <c r="F167" s="7" t="n">
        <v>1</v>
      </c>
      <c r="G167" s="7" t="n">
        <v>60</v>
      </c>
      <c r="H167" s="7" t="n">
        <v>43</v>
      </c>
      <c r="I167" s="7" t="n">
        <v>53</v>
      </c>
      <c r="J167" s="7" t="n">
        <v>60</v>
      </c>
      <c r="K167" s="7" t="n"/>
      <c r="L167" s="3" t="n"/>
      <c r="M167" s="3" t="n"/>
    </row>
    <row r="168">
      <c r="A168" s="7" t="n">
        <v>236</v>
      </c>
      <c r="B168" s="8" t="inlineStr">
        <is>
          <t>Titanomachy</t>
        </is>
      </c>
      <c r="C168" s="8" t="inlineStr">
        <is>
          <t>BC 15000</t>
        </is>
      </c>
      <c r="D168" s="7" t="n">
        <v>99288</v>
      </c>
      <c r="E168" s="7" t="n">
        <v>73928</v>
      </c>
      <c r="F168" s="7" t="n">
        <v>3</v>
      </c>
      <c r="G168" s="7" t="n">
        <v>60</v>
      </c>
      <c r="H168" s="7" t="n">
        <v>50</v>
      </c>
      <c r="I168" s="7" t="n">
        <v>51</v>
      </c>
      <c r="J168" s="7" t="n">
        <v>60</v>
      </c>
      <c r="K168" s="7" t="n"/>
      <c r="L168" s="3" t="n"/>
      <c r="M168" s="3" t="inlineStr">
        <is>
          <t>Self Clear</t>
        </is>
      </c>
    </row>
    <row r="169"/>
    <row r="170"/>
    <row r="171"/>
    <row r="172">
      <c r="A172" s="4" t="inlineStr">
        <is>
          <t>Band (Koryeo)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26" t="n"/>
      <c r="L172" s="24" t="n"/>
    </row>
    <row r="173">
      <c r="A173" s="25" t="inlineStr">
        <is>
          <t>No.</t>
        </is>
      </c>
      <c r="B173" s="25" t="inlineStr">
        <is>
          <t>Name</t>
        </is>
      </c>
      <c r="C173" s="25" t="inlineStr">
        <is>
          <t>Setting</t>
        </is>
      </c>
      <c r="D173" s="25" t="inlineStr">
        <is>
          <t>Rec. Band</t>
        </is>
      </c>
      <c r="E173" s="25" t="inlineStr">
        <is>
          <t>Clear Band</t>
        </is>
      </c>
      <c r="F173" s="25" t="inlineStr">
        <is>
          <t>Style</t>
        </is>
      </c>
      <c r="G173" s="25" t="inlineStr">
        <is>
          <t>Score</t>
        </is>
      </c>
      <c r="H173" s="25" t="inlineStr">
        <is>
          <t>Athena</t>
        </is>
      </c>
      <c r="I173" s="25" t="inlineStr">
        <is>
          <t>Idol Boy</t>
        </is>
      </c>
      <c r="J173" s="25" t="inlineStr">
        <is>
          <t>Commissioner</t>
        </is>
      </c>
      <c r="K173" s="25" t="inlineStr">
        <is>
          <t>Dracula</t>
        </is>
      </c>
      <c r="L173" s="25" t="inlineStr">
        <is>
          <t>Huang</t>
        </is>
      </c>
    </row>
    <row r="174">
      <c r="A174" s="7" t="n">
        <v>12</v>
      </c>
      <c r="B174" s="8" t="inlineStr">
        <is>
          <t>Live in Bucharest</t>
        </is>
      </c>
      <c r="C174" s="8" t="inlineStr">
        <is>
          <t>AD 1992</t>
        </is>
      </c>
      <c r="D174" s="7" t="n">
        <v>4078</v>
      </c>
      <c r="E174" s="7" t="n"/>
      <c r="F174" s="7" t="inlineStr">
        <is>
          <t>Samba</t>
        </is>
      </c>
      <c r="G174" s="7" t="n">
        <v>2700</v>
      </c>
      <c r="H174" s="7" t="n"/>
      <c r="I174" s="7" t="n"/>
      <c r="J174" s="7" t="n"/>
      <c r="K174" s="7" t="n"/>
      <c r="L174" s="7" t="n"/>
    </row>
    <row r="175">
      <c r="A175" s="7" t="n">
        <v>16</v>
      </c>
      <c r="B175" s="8" t="inlineStr">
        <is>
          <t>Paris Opera House</t>
        </is>
      </c>
      <c r="C175" s="8" t="inlineStr">
        <is>
          <t>AD 1875</t>
        </is>
      </c>
      <c r="D175" s="7" t="n">
        <v>8157</v>
      </c>
      <c r="E175" s="7" t="n"/>
      <c r="F175" s="7" t="inlineStr">
        <is>
          <t>Blues</t>
        </is>
      </c>
      <c r="G175" s="7" t="n">
        <v>5500</v>
      </c>
      <c r="H175" s="7" t="n"/>
      <c r="I175" s="7" t="n"/>
      <c r="J175" s="7" t="n"/>
      <c r="K175" s="7" t="n"/>
      <c r="L175" s="7" t="n"/>
    </row>
    <row r="176">
      <c r="A176" s="7" t="n">
        <v>33</v>
      </c>
      <c r="B176" s="8" t="inlineStr">
        <is>
          <t>Theatre of Epidaurus</t>
        </is>
      </c>
      <c r="C176" s="8" t="inlineStr">
        <is>
          <t>BC 330</t>
        </is>
      </c>
      <c r="D176" s="7" t="n">
        <v>14655</v>
      </c>
      <c r="E176" s="7" t="n">
        <v>11800</v>
      </c>
      <c r="F176" s="7" t="inlineStr">
        <is>
          <t>Remix</t>
        </is>
      </c>
      <c r="G176" s="7" t="n">
        <v>13000</v>
      </c>
      <c r="H176" s="7" t="n"/>
      <c r="I176" s="7" t="n"/>
      <c r="J176" s="7" t="n"/>
      <c r="K176" s="7" t="n"/>
      <c r="L176" s="7" t="n"/>
    </row>
    <row r="177">
      <c r="A177" s="7" t="n">
        <v>41</v>
      </c>
      <c r="B177" s="8" t="inlineStr">
        <is>
          <t>Theatre of Dionysus</t>
        </is>
      </c>
      <c r="C177" s="8" t="inlineStr">
        <is>
          <t>BC 556</t>
        </is>
      </c>
      <c r="D177" s="7" t="n">
        <v>19540</v>
      </c>
      <c r="E177" s="7" t="n">
        <v>15000</v>
      </c>
      <c r="F177" s="7" t="inlineStr">
        <is>
          <t>Samba</t>
        </is>
      </c>
      <c r="G177" s="7" t="n">
        <v>19000</v>
      </c>
      <c r="H177" s="7" t="n"/>
      <c r="I177" s="7" t="n"/>
      <c r="J177" s="7" t="n"/>
      <c r="K177" s="7" t="n"/>
      <c r="L177" s="7" t="n"/>
    </row>
    <row r="178">
      <c r="A178" s="7" t="n">
        <v>50</v>
      </c>
      <c r="B178" s="8" t="inlineStr">
        <is>
          <t>Theatre of Merida</t>
        </is>
      </c>
      <c r="C178" s="8" t="inlineStr">
        <is>
          <t>BC 15</t>
        </is>
      </c>
      <c r="D178" s="7" t="n">
        <v>25434</v>
      </c>
      <c r="E178" s="7" t="n">
        <v>20600</v>
      </c>
      <c r="F178" s="7" t="inlineStr">
        <is>
          <t>Blues</t>
        </is>
      </c>
      <c r="G178" s="7" t="n">
        <v>26000</v>
      </c>
      <c r="H178" s="7" t="n">
        <v>9</v>
      </c>
      <c r="I178" s="7" t="n">
        <v>9</v>
      </c>
      <c r="J178" s="7" t="n">
        <v>9</v>
      </c>
      <c r="K178" s="7" t="n">
        <v>9</v>
      </c>
      <c r="L178" s="7" t="n">
        <v>9</v>
      </c>
    </row>
    <row r="179">
      <c r="A179" s="7" t="n">
        <v>69</v>
      </c>
      <c r="B179" s="8" t="inlineStr">
        <is>
          <t>Shakespeare's Globe</t>
        </is>
      </c>
      <c r="C179" s="8" t="inlineStr">
        <is>
          <t>AD 1599</t>
        </is>
      </c>
      <c r="D179" s="7" t="n">
        <v>33069</v>
      </c>
      <c r="E179" s="7" t="n">
        <v>26000</v>
      </c>
      <c r="F179" s="7" t="inlineStr">
        <is>
          <t>Remix</t>
        </is>
      </c>
      <c r="G179" s="7" t="n">
        <v>39000</v>
      </c>
      <c r="H179" s="7" t="n"/>
      <c r="I179" s="7" t="n"/>
      <c r="J179" s="7" t="n"/>
      <c r="K179" s="7" t="n"/>
      <c r="L179" s="7" t="n"/>
    </row>
    <row r="180">
      <c r="A180" s="7" t="n">
        <v>76</v>
      </c>
      <c r="B180" s="8" t="inlineStr">
        <is>
          <t>Musikverein</t>
        </is>
      </c>
      <c r="C180" s="8" t="inlineStr">
        <is>
          <t>AD 1869</t>
        </is>
      </c>
      <c r="D180" s="7" t="n">
        <v>38581</v>
      </c>
      <c r="E180" s="7" t="n">
        <v>30300</v>
      </c>
      <c r="F180" s="7" t="inlineStr">
        <is>
          <t>Blues</t>
        </is>
      </c>
      <c r="G180" s="7" t="n">
        <v>49000</v>
      </c>
      <c r="H180" s="7" t="n"/>
      <c r="I180" s="7" t="n"/>
      <c r="J180" s="7" t="n"/>
      <c r="K180" s="7" t="n"/>
      <c r="L180" s="7" t="n"/>
    </row>
    <row r="181">
      <c r="A181" s="7" t="n">
        <v>91</v>
      </c>
      <c r="B181" s="8" t="inlineStr">
        <is>
          <t>The Grimmys</t>
        </is>
      </c>
      <c r="C181" s="8" t="inlineStr">
        <is>
          <t>AD 1957</t>
        </is>
      </c>
      <c r="D181" s="7" t="n">
        <v>44092</v>
      </c>
      <c r="E181" s="7" t="n">
        <v>33900</v>
      </c>
      <c r="F181" s="7" t="inlineStr">
        <is>
          <t>Samba</t>
        </is>
      </c>
      <c r="G181" s="7" t="n">
        <v>60000</v>
      </c>
      <c r="H181" s="7" t="n"/>
      <c r="I181" s="7" t="n"/>
      <c r="J181" s="7" t="n"/>
      <c r="K181" s="7" t="n"/>
      <c r="L181" s="7" t="n"/>
    </row>
    <row r="182">
      <c r="A182" s="7" t="n">
        <v>101</v>
      </c>
      <c r="B182" s="8" t="inlineStr">
        <is>
          <t>La Scala</t>
        </is>
      </c>
      <c r="C182" s="8" t="inlineStr">
        <is>
          <t>AD 1778</t>
        </is>
      </c>
      <c r="D182" s="7" t="n">
        <v>49604</v>
      </c>
      <c r="E182" s="7" t="n">
        <v>36600</v>
      </c>
      <c r="F182" s="7" t="inlineStr">
        <is>
          <t>Blues</t>
        </is>
      </c>
      <c r="G182" s="7" t="n">
        <v>71000</v>
      </c>
      <c r="H182" s="7" t="n"/>
      <c r="I182" s="7" t="n"/>
      <c r="J182" s="7" t="n"/>
      <c r="K182" s="7" t="n"/>
      <c r="L182" s="7" t="n"/>
    </row>
    <row r="183">
      <c r="A183" s="7" t="n">
        <v>112</v>
      </c>
      <c r="B183" s="8" t="inlineStr">
        <is>
          <t>Empty Fort Strat</t>
        </is>
      </c>
      <c r="C183" s="8" t="inlineStr">
        <is>
          <t>AD 228</t>
        </is>
      </c>
      <c r="D183" s="7" t="n">
        <v>55116</v>
      </c>
      <c r="E183" s="7" t="n">
        <v>43000</v>
      </c>
      <c r="F183" s="7" t="inlineStr">
        <is>
          <t>Remix</t>
        </is>
      </c>
      <c r="G183" s="7" t="n">
        <v>85000</v>
      </c>
      <c r="H183" s="7" t="n"/>
      <c r="I183" s="7" t="n"/>
      <c r="J183" s="7" t="n"/>
      <c r="K183" s="7" t="n"/>
      <c r="L183" s="7" t="n"/>
      <c r="N183" s="3" t="inlineStr">
        <is>
          <t>SYT Clear</t>
        </is>
      </c>
    </row>
    <row r="184">
      <c r="A184" s="7" t="n">
        <v>127</v>
      </c>
      <c r="B184" s="8" t="inlineStr">
        <is>
          <t>The Peatles Concert</t>
        </is>
      </c>
      <c r="C184" s="8" t="inlineStr">
        <is>
          <t>AD 1964</t>
        </is>
      </c>
      <c r="D184" s="7" t="n">
        <v>57638</v>
      </c>
      <c r="E184" s="7" t="n">
        <v>44300</v>
      </c>
      <c r="F184" s="7" t="inlineStr">
        <is>
          <t>Remix</t>
        </is>
      </c>
      <c r="G184" s="7" t="n">
        <v>90000</v>
      </c>
      <c r="H184" s="7" t="n">
        <v>19</v>
      </c>
      <c r="I184" s="7" t="n">
        <v>30</v>
      </c>
      <c r="J184" s="7" t="n">
        <v>18</v>
      </c>
      <c r="K184" s="7" t="n">
        <v>29</v>
      </c>
      <c r="L184" s="7" t="n">
        <v>30</v>
      </c>
      <c r="N184" s="3" t="inlineStr">
        <is>
          <t>Self Clear</t>
        </is>
      </c>
    </row>
    <row r="185">
      <c r="A185" s="7" t="n">
        <v>135</v>
      </c>
      <c r="B185" s="8" t="inlineStr">
        <is>
          <t>Nomad Flute Songs</t>
        </is>
      </c>
      <c r="C185" s="8" t="inlineStr">
        <is>
          <t>AD 195</t>
        </is>
      </c>
      <c r="D185" s="7" t="n">
        <v>61888</v>
      </c>
      <c r="E185" s="7" t="n">
        <v>44300</v>
      </c>
      <c r="F185" s="7" t="inlineStr">
        <is>
          <t>Blues</t>
        </is>
      </c>
      <c r="G185" s="7" t="n">
        <v>100000</v>
      </c>
      <c r="H185" s="7" t="n"/>
      <c r="I185" s="7" t="n"/>
      <c r="J185" s="7" t="n"/>
      <c r="K185" s="7" t="n"/>
      <c r="L185" s="7" t="n"/>
    </row>
    <row r="186">
      <c r="A186" s="7" t="n">
        <v>151</v>
      </c>
      <c r="B186" s="20" t="inlineStr">
        <is>
          <t>Woodstock</t>
        </is>
      </c>
      <c r="C186" s="8" t="inlineStr">
        <is>
          <t>AD 1969</t>
        </is>
      </c>
      <c r="D186" s="7" t="n">
        <v>66139</v>
      </c>
      <c r="E186" s="7" t="n">
        <v>51000</v>
      </c>
      <c r="F186" s="7" t="inlineStr">
        <is>
          <t>Samba</t>
        </is>
      </c>
      <c r="G186" s="7" t="n">
        <v>110000</v>
      </c>
      <c r="H186" s="7" t="n"/>
      <c r="I186" s="7" t="n"/>
      <c r="J186" s="7" t="n"/>
      <c r="K186" s="7" t="n"/>
      <c r="L186" s="7" t="n"/>
    </row>
    <row r="187">
      <c r="A187" s="7" t="n">
        <v>162</v>
      </c>
      <c r="B187" s="8" t="inlineStr">
        <is>
          <t>Bolshoi Theatre</t>
        </is>
      </c>
      <c r="C187" s="8" t="inlineStr">
        <is>
          <t>AD 1856</t>
        </is>
      </c>
      <c r="D187" s="7" t="n">
        <v>68661</v>
      </c>
      <c r="E187" s="7" t="n">
        <v>52800</v>
      </c>
      <c r="F187" s="7" t="inlineStr">
        <is>
          <t>Blues</t>
        </is>
      </c>
      <c r="G187" s="7" t="n">
        <v>120000</v>
      </c>
      <c r="H187" s="7" t="n"/>
      <c r="I187" s="7" t="n"/>
      <c r="J187" s="7" t="n"/>
      <c r="K187" s="7" t="n"/>
      <c r="L187" s="7" t="n"/>
    </row>
    <row r="188">
      <c r="A188" s="7" t="n">
        <v>165</v>
      </c>
      <c r="B188" s="8" t="inlineStr">
        <is>
          <t>Sydney Opera House</t>
        </is>
      </c>
      <c r="C188" s="8" t="inlineStr">
        <is>
          <t>AD 1973</t>
        </is>
      </c>
      <c r="D188" s="7" t="n">
        <v>72912</v>
      </c>
      <c r="E188" s="7" t="n">
        <v>54900</v>
      </c>
      <c r="F188" s="7" t="inlineStr">
        <is>
          <t>Samba</t>
        </is>
      </c>
      <c r="G188" s="7" t="n">
        <v>135000</v>
      </c>
      <c r="H188" s="7" t="n"/>
      <c r="I188" s="7" t="n"/>
      <c r="J188" s="7" t="n"/>
      <c r="K188" s="7" t="n"/>
      <c r="L188" s="7" t="n"/>
    </row>
    <row r="189">
      <c r="A189" s="7" t="n">
        <v>177</v>
      </c>
      <c r="B189" s="8" t="inlineStr">
        <is>
          <t>Lucerne Festival</t>
        </is>
      </c>
      <c r="C189" s="8" t="inlineStr">
        <is>
          <t>AD 1983</t>
        </is>
      </c>
      <c r="D189" s="7" t="n">
        <v>77162</v>
      </c>
      <c r="E189" s="7" t="n">
        <v>59000</v>
      </c>
      <c r="F189" s="7" t="inlineStr">
        <is>
          <t>Blues</t>
        </is>
      </c>
      <c r="G189" s="7" t="n">
        <v>150000</v>
      </c>
      <c r="H189" s="7" t="n"/>
      <c r="I189" s="7" t="n"/>
      <c r="J189" s="7" t="n"/>
      <c r="K189" s="7" t="n"/>
      <c r="L189" s="7" t="n"/>
    </row>
    <row r="190">
      <c r="A190" s="7" t="n">
        <v>192</v>
      </c>
      <c r="B190" s="8" t="inlineStr">
        <is>
          <t>Hungarian Rhapsodie</t>
        </is>
      </c>
      <c r="C190" s="8" t="inlineStr">
        <is>
          <t>AD 1885</t>
        </is>
      </c>
      <c r="D190" s="7" t="n">
        <v>82674</v>
      </c>
      <c r="E190" s="7" t="n">
        <v>59000</v>
      </c>
      <c r="F190" s="7" t="inlineStr">
        <is>
          <t>Remix</t>
        </is>
      </c>
      <c r="G190" s="7" t="n">
        <v>170000</v>
      </c>
      <c r="H190" s="7" t="n"/>
      <c r="I190" s="7" t="n"/>
      <c r="J190" s="7" t="n"/>
      <c r="K190" s="7" t="n"/>
      <c r="L190" s="7" t="n"/>
    </row>
    <row r="191">
      <c r="A191" s="7" t="n">
        <v>201</v>
      </c>
      <c r="B191" s="8" t="inlineStr">
        <is>
          <t>Beowulf</t>
        </is>
      </c>
      <c r="C191" s="8" t="inlineStr">
        <is>
          <t>BC 407</t>
        </is>
      </c>
      <c r="D191" s="7" t="n">
        <v>88185</v>
      </c>
      <c r="E191" s="7" t="n">
        <v>61200</v>
      </c>
      <c r="F191" s="7" t="inlineStr">
        <is>
          <t>Remix</t>
        </is>
      </c>
      <c r="G191" s="7" t="n">
        <v>190000</v>
      </c>
      <c r="H191" s="7" t="n">
        <v>19</v>
      </c>
      <c r="I191" s="7" t="n">
        <v>31</v>
      </c>
      <c r="J191" s="7" t="n">
        <v>32</v>
      </c>
      <c r="K191" s="7" t="n">
        <v>50</v>
      </c>
      <c r="L191" s="7" t="n">
        <v>34</v>
      </c>
      <c r="N191" s="3" t="inlineStr">
        <is>
          <t>Self Clear</t>
        </is>
      </c>
    </row>
    <row r="192">
      <c r="A192" s="7" t="n">
        <v>209</v>
      </c>
      <c r="B192" s="8" t="inlineStr">
        <is>
          <t>Salzburg Festival</t>
        </is>
      </c>
      <c r="C192" s="8" t="inlineStr">
        <is>
          <t>AD 1920</t>
        </is>
      </c>
      <c r="D192" s="7" t="n">
        <v>93697</v>
      </c>
      <c r="E192" s="7" t="n">
        <v>67000</v>
      </c>
      <c r="F192" s="7" t="inlineStr">
        <is>
          <t>Samba</t>
        </is>
      </c>
      <c r="G192" s="7" t="n">
        <v>215000</v>
      </c>
      <c r="H192" s="7" t="n">
        <v>19</v>
      </c>
      <c r="I192" s="7" t="n">
        <v>41</v>
      </c>
      <c r="J192" s="7" t="n">
        <v>41</v>
      </c>
      <c r="K192" s="7" t="n">
        <v>53</v>
      </c>
      <c r="L192" s="7" t="n">
        <v>41</v>
      </c>
      <c r="N192" s="3" t="inlineStr">
        <is>
          <t>Self Clear</t>
        </is>
      </c>
    </row>
    <row r="193">
      <c r="A193" s="7" t="n">
        <v>213</v>
      </c>
      <c r="B193" s="8" t="inlineStr">
        <is>
          <t>The Nine Songs</t>
        </is>
      </c>
      <c r="C193" s="8" t="inlineStr">
        <is>
          <t>BC 302</t>
        </is>
      </c>
      <c r="D193" s="7" t="n">
        <v>99208</v>
      </c>
      <c r="E193" s="7" t="n">
        <v>76600</v>
      </c>
      <c r="F193" s="7" t="inlineStr">
        <is>
          <t>Blues</t>
        </is>
      </c>
      <c r="G193" s="7" t="n">
        <v>235000</v>
      </c>
      <c r="H193" s="7" t="n">
        <v>20</v>
      </c>
      <c r="I193" s="7" t="n">
        <v>60</v>
      </c>
      <c r="J193" s="7" t="n">
        <v>47</v>
      </c>
      <c r="K193" s="7" t="n">
        <v>55</v>
      </c>
      <c r="L193" s="7" t="n">
        <v>46</v>
      </c>
      <c r="N193" s="3" t="inlineStr">
        <is>
          <t>Self Clear</t>
        </is>
      </c>
    </row>
    <row r="194">
      <c r="A194" s="7" t="n">
        <v>221</v>
      </c>
      <c r="B194" s="8" t="inlineStr">
        <is>
          <t>Waldbuehne Berlin</t>
        </is>
      </c>
      <c r="C194" s="8" t="inlineStr">
        <is>
          <t>AD 1989</t>
        </is>
      </c>
      <c r="D194" s="7" t="n">
        <v>104720</v>
      </c>
      <c r="E194" s="7" t="n">
        <v>80900</v>
      </c>
      <c r="F194" s="7" t="inlineStr">
        <is>
          <t>Samba</t>
        </is>
      </c>
      <c r="G194" s="7" t="n">
        <v>260000</v>
      </c>
      <c r="H194" s="7" t="n">
        <v>30</v>
      </c>
      <c r="I194" s="7" t="n">
        <v>60</v>
      </c>
      <c r="J194" s="7" t="n">
        <v>51</v>
      </c>
      <c r="K194" s="7" t="n">
        <v>55</v>
      </c>
      <c r="L194" s="7" t="n">
        <v>48</v>
      </c>
      <c r="N194" s="3" t="inlineStr">
        <is>
          <t>Self Clear</t>
        </is>
      </c>
    </row>
    <row r="195">
      <c r="A195" s="7" t="n">
        <v>237</v>
      </c>
      <c r="B195" s="8" t="inlineStr">
        <is>
          <t>Canticle</t>
        </is>
      </c>
      <c r="C195" s="8" t="inlineStr">
        <is>
          <t>AD 30</t>
        </is>
      </c>
      <c r="D195" s="7" t="n">
        <v>110232</v>
      </c>
      <c r="E195" s="7" t="n">
        <v>88400</v>
      </c>
      <c r="F195" s="7" t="inlineStr">
        <is>
          <t>Remix</t>
        </is>
      </c>
      <c r="G195" s="7" t="n">
        <v>290000</v>
      </c>
      <c r="H195" s="7" t="n">
        <v>53</v>
      </c>
      <c r="I195" s="7" t="n">
        <v>60</v>
      </c>
      <c r="J195" s="7" t="n">
        <v>57</v>
      </c>
      <c r="K195" s="7" t="n">
        <v>57</v>
      </c>
      <c r="L195" s="7" t="n">
        <v>54</v>
      </c>
      <c r="N195" s="3" t="inlineStr">
        <is>
          <t>Self Clear</t>
        </is>
      </c>
    </row>
    <row r="196"/>
    <row r="197"/>
    <row r="198"/>
    <row r="199">
      <c r="A199" s="4" t="inlineStr">
        <is>
          <t>Siege (Cathay)</t>
        </is>
      </c>
      <c r="B199" s="5" t="n"/>
      <c r="C199" s="5" t="n"/>
      <c r="D199" s="5" t="n"/>
      <c r="E199" s="5" t="n"/>
      <c r="F199" s="5" t="n"/>
      <c r="G199" s="5" t="n"/>
      <c r="H199" s="24" t="n"/>
      <c r="I199" s="24" t="n"/>
      <c r="J199" s="3" t="n"/>
      <c r="K199" s="3" t="n"/>
    </row>
    <row r="200">
      <c r="A200" s="25" t="inlineStr">
        <is>
          <t>No.</t>
        </is>
      </c>
      <c r="B200" s="25" t="inlineStr">
        <is>
          <t>Name</t>
        </is>
      </c>
      <c r="C200" s="25" t="inlineStr">
        <is>
          <t>Setting</t>
        </is>
      </c>
      <c r="D200" s="25" t="inlineStr">
        <is>
          <t>Rec. Siege</t>
        </is>
      </c>
      <c r="E200" s="25" t="inlineStr">
        <is>
          <t>Clear Siege</t>
        </is>
      </c>
      <c r="F200" s="25" t="inlineStr">
        <is>
          <t>Formation</t>
        </is>
      </c>
      <c r="G200" s="25" t="inlineStr">
        <is>
          <t>Mad Abe</t>
        </is>
      </c>
      <c r="H200" s="25" t="inlineStr">
        <is>
          <t>Future Pyr.</t>
        </is>
      </c>
      <c r="I200" s="25" t="inlineStr">
        <is>
          <t>Others S+</t>
        </is>
      </c>
      <c r="J200" s="3" t="n"/>
    </row>
    <row r="201">
      <c r="A201" s="7" t="n">
        <v>11</v>
      </c>
      <c r="B201" s="8" t="inlineStr">
        <is>
          <t>Siege of Carthage</t>
        </is>
      </c>
      <c r="C201" s="8" t="inlineStr">
        <is>
          <t>AD 1582</t>
        </is>
      </c>
      <c r="D201" s="7" t="n">
        <v>4467</v>
      </c>
      <c r="E201" s="7" t="n"/>
      <c r="F201" s="7" t="n"/>
      <c r="G201" s="7" t="n"/>
      <c r="H201" s="7" t="n"/>
      <c r="I201" s="7" t="n"/>
      <c r="J201" s="3" t="n"/>
    </row>
    <row r="202">
      <c r="A202" s="7" t="n">
        <v>24</v>
      </c>
      <c r="B202" s="8" t="inlineStr">
        <is>
          <t>Battle of Hulao Pass</t>
        </is>
      </c>
      <c r="C202" s="8" t="inlineStr">
        <is>
          <t>AD 191</t>
        </is>
      </c>
      <c r="D202" s="7" t="n">
        <v>12814</v>
      </c>
      <c r="E202" s="7" t="n"/>
      <c r="F202" s="7" t="n"/>
      <c r="G202" s="7" t="n"/>
      <c r="H202" s="7" t="n"/>
      <c r="I202" s="7" t="n"/>
      <c r="J202" s="3" t="n"/>
    </row>
    <row r="203">
      <c r="A203" s="7" t="n">
        <v>32</v>
      </c>
      <c r="B203" s="8" t="inlineStr">
        <is>
          <t>Trojan War</t>
        </is>
      </c>
      <c r="C203" s="8" t="inlineStr">
        <is>
          <t>BC 1183</t>
        </is>
      </c>
      <c r="D203" s="7" t="n">
        <v>21566</v>
      </c>
      <c r="E203" s="7" t="n"/>
      <c r="F203" s="7" t="n"/>
      <c r="G203" s="7" t="n"/>
      <c r="H203" s="7" t="n"/>
      <c r="I203" s="7" t="n"/>
      <c r="J203" s="3" t="n"/>
    </row>
    <row r="204">
      <c r="A204" s="7" t="n">
        <v>38</v>
      </c>
      <c r="B204" s="8" t="inlineStr">
        <is>
          <t>Siege of Osaka</t>
        </is>
      </c>
      <c r="C204" s="8" t="inlineStr">
        <is>
          <t>AD 1615</t>
        </is>
      </c>
      <c r="D204" s="7" t="n">
        <v>29449</v>
      </c>
      <c r="E204" s="7" t="n"/>
      <c r="F204" s="7" t="n"/>
      <c r="G204" s="7" t="n"/>
      <c r="H204" s="7" t="n"/>
      <c r="I204" s="7" t="n"/>
      <c r="J204" s="3" t="n"/>
    </row>
    <row r="205">
      <c r="A205" s="7" t="n">
        <v>58</v>
      </c>
      <c r="B205" s="8" t="inlineStr">
        <is>
          <t>Battle of Jiange</t>
        </is>
      </c>
      <c r="C205" s="8" t="inlineStr">
        <is>
          <t>AD 263</t>
        </is>
      </c>
      <c r="D205" s="7" t="n">
        <v>51953</v>
      </c>
      <c r="E205" s="7" t="n">
        <v>38689</v>
      </c>
      <c r="F205" s="7" t="inlineStr">
        <is>
          <t>V</t>
        </is>
      </c>
      <c r="G205" s="7" t="n"/>
      <c r="H205" s="7" t="n"/>
      <c r="I205" s="7" t="n"/>
      <c r="J205" s="3" t="n"/>
    </row>
    <row r="206">
      <c r="A206" s="7" t="n">
        <v>65</v>
      </c>
      <c r="B206" s="8" t="inlineStr">
        <is>
          <t>Siege of Jerusalem</t>
        </is>
      </c>
      <c r="C206" s="8" t="inlineStr">
        <is>
          <t>AD 1187</t>
        </is>
      </c>
      <c r="D206" s="7" t="n">
        <v>59927</v>
      </c>
      <c r="E206" s="7" t="n">
        <v>42783</v>
      </c>
      <c r="F206" s="7" t="inlineStr">
        <is>
          <t>V</t>
        </is>
      </c>
      <c r="G206" s="7" t="n"/>
      <c r="H206" s="7" t="n"/>
      <c r="I206" s="7" t="n"/>
      <c r="J206" s="3" t="n"/>
    </row>
    <row r="207">
      <c r="A207" s="7" t="n">
        <v>80</v>
      </c>
      <c r="B207" s="8" t="inlineStr">
        <is>
          <t>Battle of Julu</t>
        </is>
      </c>
      <c r="C207" s="8" t="inlineStr">
        <is>
          <t>BC 206</t>
        </is>
      </c>
      <c r="D207" s="7" t="n">
        <v>78181</v>
      </c>
      <c r="E207" s="7" t="n">
        <v>57955</v>
      </c>
      <c r="F207" s="7" t="inlineStr">
        <is>
          <t>V</t>
        </is>
      </c>
      <c r="G207" s="7" t="n"/>
      <c r="H207" s="7" t="n"/>
      <c r="I207" s="7" t="n"/>
      <c r="J207" s="3" t="n"/>
    </row>
    <row r="208">
      <c r="A208" s="7" t="n">
        <v>86</v>
      </c>
      <c r="B208" s="8" t="inlineStr">
        <is>
          <t>Siege of Barad-du</t>
        </is>
      </c>
      <c r="C208" s="8" t="inlineStr">
        <is>
          <t>BC 4660</t>
        </is>
      </c>
      <c r="D208" s="7" t="n">
        <v>86901</v>
      </c>
      <c r="E208" s="7" t="n">
        <v>65956</v>
      </c>
      <c r="F208" s="7" t="inlineStr">
        <is>
          <t>V</t>
        </is>
      </c>
      <c r="G208" s="7" t="n"/>
      <c r="H208" s="7" t="n"/>
      <c r="I208" s="7" t="n"/>
      <c r="J208" s="3" t="n"/>
    </row>
    <row r="209">
      <c r="A209" s="7" t="n">
        <v>102</v>
      </c>
      <c r="B209" s="8" t="inlineStr">
        <is>
          <t>Battle of Rome</t>
        </is>
      </c>
      <c r="C209" s="8" t="inlineStr">
        <is>
          <t>AD 410</t>
        </is>
      </c>
      <c r="D209" s="7" t="n">
        <v>101493</v>
      </c>
      <c r="E209" s="7" t="n">
        <v>79077</v>
      </c>
      <c r="F209" s="7" t="inlineStr">
        <is>
          <t>V</t>
        </is>
      </c>
      <c r="G209" s="7" t="n"/>
      <c r="H209" s="7" t="n"/>
      <c r="I209" s="7" t="n"/>
      <c r="J209" s="3" t="n"/>
    </row>
    <row r="210">
      <c r="A210" s="7" t="n">
        <v>113</v>
      </c>
      <c r="B210" s="8" t="inlineStr">
        <is>
          <t>Battle of the Somme</t>
        </is>
      </c>
      <c r="C210" s="8" t="inlineStr">
        <is>
          <t>AD 1916</t>
        </is>
      </c>
      <c r="D210" s="7" t="n">
        <v>112896</v>
      </c>
      <c r="E210" s="7" t="n">
        <v>85082</v>
      </c>
      <c r="F210" s="7" t="inlineStr">
        <is>
          <t>V</t>
        </is>
      </c>
      <c r="G210" s="7" t="n"/>
      <c r="H210" s="7" t="n"/>
      <c r="I210" s="7" t="n"/>
      <c r="J210" s="3" t="n"/>
    </row>
    <row r="211">
      <c r="A211" s="7" t="n">
        <v>126</v>
      </c>
      <c r="B211" s="8" t="inlineStr">
        <is>
          <t>Battle of Chencang</t>
        </is>
      </c>
      <c r="C211" s="8" t="inlineStr">
        <is>
          <t>AD 299</t>
        </is>
      </c>
      <c r="D211" s="7" t="n">
        <v>124185</v>
      </c>
      <c r="E211" s="7" t="n">
        <v>89739</v>
      </c>
      <c r="F211" s="7" t="inlineStr">
        <is>
          <t>Dragon</t>
        </is>
      </c>
      <c r="G211" s="7" t="n">
        <v>22</v>
      </c>
      <c r="H211" s="7" t="n">
        <v>30</v>
      </c>
      <c r="I211" s="7" t="n">
        <v>30</v>
      </c>
      <c r="J211" s="3" t="inlineStr">
        <is>
          <t>SYT Clear</t>
        </is>
      </c>
    </row>
    <row r="212">
      <c r="A212" s="7" t="n">
        <v>132</v>
      </c>
      <c r="B212" s="8" t="inlineStr">
        <is>
          <t>Battle of Verdun</t>
        </is>
      </c>
      <c r="C212" s="8" t="inlineStr">
        <is>
          <t>AD 1916</t>
        </is>
      </c>
      <c r="D212" s="7" t="n">
        <v>135475</v>
      </c>
      <c r="E212" s="7" t="n">
        <v>102910</v>
      </c>
      <c r="F212" s="7" t="inlineStr">
        <is>
          <t>V</t>
        </is>
      </c>
      <c r="G212" s="7" t="n">
        <v>40</v>
      </c>
      <c r="H212" s="7" t="n">
        <v>35</v>
      </c>
      <c r="I212" s="7" t="n">
        <v>35</v>
      </c>
      <c r="J212" s="3" t="n"/>
    </row>
    <row r="213">
      <c r="A213" s="7" t="n">
        <v>138</v>
      </c>
      <c r="B213" s="20" t="inlineStr">
        <is>
          <t>The Siege of Tyre</t>
        </is>
      </c>
      <c r="C213" s="8" t="inlineStr">
        <is>
          <t>BC 332</t>
        </is>
      </c>
      <c r="D213" s="7" t="n">
        <v>141081</v>
      </c>
      <c r="E213" s="7" t="n">
        <v>95000</v>
      </c>
      <c r="F213" s="7" t="inlineStr">
        <is>
          <t>Dragon</t>
        </is>
      </c>
      <c r="G213" s="7" t="n">
        <v>35</v>
      </c>
      <c r="H213" s="7" t="n">
        <v>32</v>
      </c>
      <c r="I213" s="7" t="n">
        <v>30</v>
      </c>
      <c r="J213" s="3" t="inlineStr">
        <is>
          <t>Self Clear</t>
        </is>
      </c>
    </row>
    <row r="214">
      <c r="A214" s="7" t="n">
        <v>148</v>
      </c>
      <c r="B214" s="8" t="inlineStr">
        <is>
          <t>Gettysburg Campaign</t>
        </is>
      </c>
      <c r="C214" s="8" t="inlineStr">
        <is>
          <t>AD 1863</t>
        </is>
      </c>
      <c r="D214" s="7" t="n">
        <v>149568</v>
      </c>
      <c r="E214" s="7" t="n">
        <v>98458</v>
      </c>
      <c r="F214" s="7" t="inlineStr">
        <is>
          <t>Dragon</t>
        </is>
      </c>
      <c r="G214" s="7" t="n">
        <v>37</v>
      </c>
      <c r="H214" s="7" t="n">
        <v>36</v>
      </c>
      <c r="I214" s="7" t="n">
        <v>30</v>
      </c>
      <c r="J214" s="3" t="inlineStr">
        <is>
          <t>Self Clear</t>
        </is>
      </c>
    </row>
    <row r="215">
      <c r="A215" s="7" t="n">
        <v>164</v>
      </c>
      <c r="B215" s="8" t="inlineStr">
        <is>
          <t>World War Z</t>
        </is>
      </c>
      <c r="C215" s="8" t="inlineStr">
        <is>
          <t>AD 2065</t>
        </is>
      </c>
      <c r="D215" s="7" t="n">
        <v>158054</v>
      </c>
      <c r="E215" s="7" t="n">
        <v>103926</v>
      </c>
      <c r="F215" s="7" t="inlineStr">
        <is>
          <t>Dragon</t>
        </is>
      </c>
      <c r="G215" s="7" t="n">
        <v>43</v>
      </c>
      <c r="H215" s="7" t="n">
        <v>38</v>
      </c>
      <c r="I215" s="7" t="n">
        <v>30</v>
      </c>
      <c r="J215" s="3" t="inlineStr">
        <is>
          <t>Self Clear</t>
        </is>
      </c>
    </row>
    <row r="216">
      <c r="A216" s="7" t="n">
        <v>179</v>
      </c>
      <c r="B216" s="8" t="inlineStr">
        <is>
          <t>River-Crossing Battle of Caishi</t>
        </is>
      </c>
      <c r="C216" s="8" t="inlineStr">
        <is>
          <t>AD 1355</t>
        </is>
      </c>
      <c r="D216" s="7" t="n">
        <v>163660</v>
      </c>
      <c r="E216" s="7" t="n">
        <v>108000</v>
      </c>
      <c r="F216" s="7" t="inlineStr">
        <is>
          <t>Dragon</t>
        </is>
      </c>
      <c r="G216" s="7" t="n">
        <v>46</v>
      </c>
      <c r="H216" s="7" t="n">
        <v>39</v>
      </c>
      <c r="I216" s="7" t="n">
        <v>30</v>
      </c>
      <c r="J216" s="3" t="inlineStr">
        <is>
          <t>Self Clear</t>
        </is>
      </c>
    </row>
    <row r="217">
      <c r="A217" s="7" t="n">
        <v>191</v>
      </c>
      <c r="B217" s="8" t="inlineStr">
        <is>
          <t>Constantinople Battle</t>
        </is>
      </c>
      <c r="C217" s="8" t="inlineStr">
        <is>
          <t>AD 1453</t>
        </is>
      </c>
      <c r="D217" s="7" t="n">
        <v>172147</v>
      </c>
      <c r="E217" s="7" t="n">
        <v>118000</v>
      </c>
      <c r="F217" s="7" t="inlineStr">
        <is>
          <t>Dragon</t>
        </is>
      </c>
      <c r="G217" s="7" t="n">
        <v>48</v>
      </c>
      <c r="H217" s="7" t="n">
        <v>39</v>
      </c>
      <c r="I217" s="7" t="n">
        <v>35</v>
      </c>
      <c r="J217" s="3" t="inlineStr">
        <is>
          <t>Self Clear</t>
        </is>
      </c>
    </row>
    <row r="218">
      <c r="A218" s="7" t="n">
        <v>202</v>
      </c>
      <c r="B218" s="8" t="inlineStr">
        <is>
          <t>Battle of the Inca Conquest</t>
        </is>
      </c>
      <c r="C218" s="8" t="inlineStr">
        <is>
          <t>AD 1531</t>
        </is>
      </c>
      <c r="D218" s="7" t="n">
        <v>180633</v>
      </c>
      <c r="E218" s="7" t="n">
        <v>124926</v>
      </c>
      <c r="F218" s="7" t="inlineStr">
        <is>
          <t>Dragon</t>
        </is>
      </c>
      <c r="G218" s="7" t="n">
        <v>52</v>
      </c>
      <c r="H218" s="7" t="n">
        <v>41</v>
      </c>
      <c r="I218" s="7" t="n">
        <v>42</v>
      </c>
      <c r="J218" s="3" t="inlineStr">
        <is>
          <t>Self Clear</t>
        </is>
      </c>
    </row>
    <row r="219">
      <c r="A219" s="7" t="n">
        <v>212</v>
      </c>
      <c r="B219" s="8" t="inlineStr">
        <is>
          <t>Battle of Yique</t>
        </is>
      </c>
      <c r="C219" s="8" t="inlineStr">
        <is>
          <t>BC 293</t>
        </is>
      </c>
      <c r="D219" s="7" t="n">
        <v>186240</v>
      </c>
      <c r="E219" s="7" t="n">
        <v>122714</v>
      </c>
      <c r="F219" s="7" t="inlineStr">
        <is>
          <t>Dragon</t>
        </is>
      </c>
      <c r="G219" s="7" t="n">
        <v>51</v>
      </c>
      <c r="H219" s="7" t="n">
        <v>41</v>
      </c>
      <c r="I219" s="7" t="n">
        <v>41</v>
      </c>
      <c r="J219" s="3" t="inlineStr">
        <is>
          <t>Self Clear</t>
        </is>
      </c>
    </row>
    <row r="220">
      <c r="A220" s="7" t="n">
        <v>220</v>
      </c>
      <c r="B220" s="8" t="inlineStr">
        <is>
          <t>Battle of Yorktown</t>
        </is>
      </c>
      <c r="C220" s="8" t="inlineStr">
        <is>
          <t>AD 1781</t>
        </is>
      </c>
      <c r="D220" s="7" t="n">
        <v>194726</v>
      </c>
      <c r="E220" s="7" t="n">
        <v>124926</v>
      </c>
      <c r="F220" s="7" t="inlineStr">
        <is>
          <t>Dragon</t>
        </is>
      </c>
      <c r="G220" s="7" t="n">
        <v>52</v>
      </c>
      <c r="H220" s="7" t="n">
        <v>41</v>
      </c>
      <c r="I220" s="7" t="n">
        <v>42</v>
      </c>
      <c r="J220" s="3" t="inlineStr">
        <is>
          <t>Self Clear</t>
        </is>
      </c>
    </row>
    <row r="221">
      <c r="A221" s="7" t="n">
        <v>227</v>
      </c>
      <c r="B221" s="8" t="inlineStr">
        <is>
          <t>Siege of Harfleur</t>
        </is>
      </c>
      <c r="C221" s="8" t="inlineStr">
        <is>
          <t>AD 1415</t>
        </is>
      </c>
      <c r="D221" s="7" t="n">
        <v>203212</v>
      </c>
      <c r="E221" s="7" t="n">
        <v>157083</v>
      </c>
      <c r="F221" s="7" t="inlineStr">
        <is>
          <t>Dragon</t>
        </is>
      </c>
      <c r="G221" s="7" t="n"/>
      <c r="H221" s="7" t="n"/>
      <c r="I221" s="7" t="n"/>
      <c r="J221" s="3" t="n"/>
    </row>
    <row r="222">
      <c r="A222" s="7" t="n">
        <v>230</v>
      </c>
      <c r="B222" s="8" t="inlineStr">
        <is>
          <t>Battle of Falkirk</t>
        </is>
      </c>
      <c r="C222" s="8" t="inlineStr">
        <is>
          <t>AD 1298</t>
        </is>
      </c>
      <c r="D222" s="7" t="n">
        <v>208819</v>
      </c>
      <c r="E222" s="7" t="n">
        <v>144745</v>
      </c>
      <c r="F222" s="7" t="inlineStr">
        <is>
          <t>Dragon</t>
        </is>
      </c>
      <c r="G222" s="7" t="n">
        <v>60</v>
      </c>
      <c r="H222" s="7" t="n">
        <v>47</v>
      </c>
      <c r="I222" s="7" t="inlineStr">
        <is>
          <t>47-50</t>
        </is>
      </c>
      <c r="J222" s="3" t="inlineStr">
        <is>
          <t>Self Clear</t>
        </is>
      </c>
    </row>
    <row r="223">
      <c r="A223" s="7" t="n">
        <v>232</v>
      </c>
      <c r="B223" s="8" t="inlineStr">
        <is>
          <t>Battle of Camlan</t>
        </is>
      </c>
      <c r="C223" s="8" t="inlineStr">
        <is>
          <t>AD 573</t>
        </is>
      </c>
      <c r="D223" s="7" t="n">
        <v>217305</v>
      </c>
      <c r="E223" s="7" t="n"/>
      <c r="F223" s="7" t="inlineStr">
        <is>
          <t>Fish</t>
        </is>
      </c>
      <c r="G223" s="7" t="n">
        <v>60</v>
      </c>
      <c r="H223" s="7" t="n">
        <v>50</v>
      </c>
      <c r="I223" s="7" t="inlineStr">
        <is>
          <t>49-53</t>
        </is>
      </c>
      <c r="J223" s="3" t="inlineStr">
        <is>
          <t>Self Clear</t>
        </is>
      </c>
      <c r="K223" s="3" t="inlineStr">
        <is>
          <t>18 Flank / 10 Trinity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2026-04-25T21:15:34Z</dcterms:created>
  <dcterms:modified xmlns:dcterms="http://purl.org/dc/terms/" xmlns:xsi="http://www.w3.org/2001/XMLSchema-instance" xsi:type="dcterms:W3CDTF">2026-04-25T21:15:36Z</dcterms:modified>
</cp:coreProperties>
</file>